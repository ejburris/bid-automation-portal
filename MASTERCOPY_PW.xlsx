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MY FILES\CWM\BSM CONSTRUCTION\MASTER COPIES\"/>
    </mc:Choice>
  </mc:AlternateContent>
  <xr:revisionPtr revIDLastSave="0" documentId="13_ncr:1_{76777AFD-9A7D-4619-8D48-17527D6CED7D}" xr6:coauthVersionLast="47" xr6:coauthVersionMax="47" xr10:uidLastSave="{00000000-0000-0000-0000-000000000000}"/>
  <bookViews>
    <workbookView xWindow="3555" yWindow="-16320" windowWidth="29040" windowHeight="16440" xr2:uid="{00000000-000D-0000-FFFF-FFFF00000000}"/>
  </bookViews>
  <sheets>
    <sheet name="INPUT" sheetId="2" r:id="rId1"/>
    <sheet name="NORMAL WAGE" sheetId="1" state="hidden" r:id="rId2"/>
    <sheet name="PREVAILING WAGE" sheetId="4" r:id="rId3"/>
    <sheet name="INFO SHEET" sheetId="3" r:id="rId4"/>
  </sheets>
  <definedNames>
    <definedName name="_xlnm._FilterDatabase" localSheetId="3" hidden="1">'INFO SHEET'!$A$2:$E$51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1" i="4" l="1"/>
  <c r="B42" i="4"/>
  <c r="B53" i="4"/>
  <c r="B64" i="4"/>
  <c r="B64" i="1"/>
  <c r="B53" i="1"/>
  <c r="B42" i="1"/>
  <c r="B31" i="1"/>
  <c r="B18" i="1"/>
  <c r="B18" i="4"/>
  <c r="D99" i="1"/>
  <c r="D99" i="4"/>
  <c r="D58" i="4"/>
  <c r="F58" i="4" s="1"/>
  <c r="D57" i="4"/>
  <c r="F57" i="4" s="1"/>
  <c r="D56" i="4"/>
  <c r="F56" i="4" s="1"/>
  <c r="D47" i="4"/>
  <c r="F47" i="4" s="1"/>
  <c r="D46" i="4"/>
  <c r="F46" i="4" s="1"/>
  <c r="D45" i="4"/>
  <c r="F45" i="4" s="1"/>
  <c r="D36" i="4"/>
  <c r="F36" i="4" s="1"/>
  <c r="D35" i="4"/>
  <c r="F35" i="4" s="1"/>
  <c r="D34" i="4"/>
  <c r="F34" i="4" s="1"/>
  <c r="D25" i="4"/>
  <c r="F25" i="4" s="1"/>
  <c r="D24" i="4"/>
  <c r="F24" i="4" s="1"/>
  <c r="D23" i="4"/>
  <c r="F23" i="4" s="1"/>
  <c r="F105" i="4"/>
  <c r="F104" i="4"/>
  <c r="F103" i="4"/>
  <c r="D96" i="4"/>
  <c r="D92" i="4"/>
  <c r="D89" i="4"/>
  <c r="D85" i="4"/>
  <c r="E75" i="4"/>
  <c r="G75" i="4" s="1"/>
  <c r="H75" i="4" s="1"/>
  <c r="D12" i="4"/>
  <c r="F12" i="4" s="1"/>
  <c r="D11" i="4"/>
  <c r="F11" i="4" s="1"/>
  <c r="D10" i="4"/>
  <c r="F10" i="4" s="1"/>
  <c r="D5" i="4"/>
  <c r="E16" i="2"/>
  <c r="E14" i="2"/>
  <c r="D58" i="1" l="1"/>
  <c r="F58" i="1" s="1"/>
  <c r="D57" i="1"/>
  <c r="F57" i="1" s="1"/>
  <c r="D56" i="1"/>
  <c r="F56" i="1" s="1"/>
  <c r="D47" i="1"/>
  <c r="F47" i="1" s="1"/>
  <c r="D46" i="1"/>
  <c r="F46" i="1" s="1"/>
  <c r="D45" i="1"/>
  <c r="F45" i="1" s="1"/>
  <c r="D36" i="1"/>
  <c r="F36" i="1" s="1"/>
  <c r="D35" i="1"/>
  <c r="F35" i="1" s="1"/>
  <c r="D34" i="1"/>
  <c r="F34" i="1" s="1"/>
  <c r="D25" i="1"/>
  <c r="F25" i="1" s="1"/>
  <c r="D24" i="1"/>
  <c r="F24" i="1" s="1"/>
  <c r="D23" i="1"/>
  <c r="F23" i="1" s="1"/>
  <c r="F104" i="1" l="1"/>
  <c r="F105" i="1"/>
  <c r="D11" i="1" l="1"/>
  <c r="F11" i="1" s="1"/>
  <c r="D12" i="1"/>
  <c r="F12" i="1" s="1"/>
  <c r="F103" i="1" l="1"/>
  <c r="D96" i="1"/>
  <c r="D92" i="1"/>
  <c r="D89" i="1"/>
  <c r="D85" i="1"/>
  <c r="E75" i="1"/>
  <c r="G75" i="1" s="1"/>
  <c r="H75" i="1" s="1"/>
  <c r="D10" i="1"/>
  <c r="F10" i="1" s="1"/>
  <c r="D5" i="1"/>
  <c r="B7" i="3" l="1"/>
  <c r="E7" i="3"/>
  <c r="B8" i="3"/>
  <c r="E8" i="3"/>
  <c r="B9" i="3"/>
  <c r="E9" i="3"/>
  <c r="B10" i="3"/>
  <c r="E10" i="3"/>
  <c r="B11" i="3"/>
  <c r="E11" i="3"/>
  <c r="B12" i="3"/>
  <c r="B13" i="3"/>
  <c r="E13" i="3"/>
  <c r="B14" i="3"/>
  <c r="B16" i="3"/>
  <c r="B17" i="3"/>
  <c r="B18" i="3"/>
  <c r="B21" i="3"/>
  <c r="B22" i="3"/>
  <c r="B23" i="3"/>
  <c r="B27" i="3"/>
  <c r="B28" i="3"/>
  <c r="B29" i="3"/>
  <c r="B33" i="3"/>
  <c r="B34" i="3"/>
  <c r="E14" i="3"/>
  <c r="E12" i="3"/>
  <c r="D10" i="2"/>
</calcChain>
</file>

<file path=xl/sharedStrings.xml><?xml version="1.0" encoding="utf-8"?>
<sst xmlns="http://schemas.openxmlformats.org/spreadsheetml/2006/main" count="345" uniqueCount="116">
  <si>
    <t>SqFt</t>
  </si>
  <si>
    <t>Total:</t>
  </si>
  <si>
    <t>CARPET - 1st FLOOR  ($175 MINIMUM)</t>
  </si>
  <si>
    <t>Units</t>
  </si>
  <si>
    <t xml:space="preserve">TRAVEL </t>
  </si>
  <si>
    <t>Workers</t>
  </si>
  <si>
    <t xml:space="preserve">Hours </t>
  </si>
  <si>
    <t>Cost</t>
  </si>
  <si>
    <t>Days</t>
  </si>
  <si>
    <t>SQFT COST</t>
  </si>
  <si>
    <t>Total Hours</t>
  </si>
  <si>
    <t>Total Workers Needed</t>
  </si>
  <si>
    <t>Total hours</t>
  </si>
  <si>
    <t>Price /hour</t>
  </si>
  <si>
    <t>Total cost</t>
  </si>
  <si>
    <t>Clean World Maintenance</t>
  </si>
  <si>
    <t>Division :</t>
  </si>
  <si>
    <t>Sales Rep:</t>
  </si>
  <si>
    <t xml:space="preserve"> </t>
  </si>
  <si>
    <t xml:space="preserve">Project :  </t>
  </si>
  <si>
    <t>2017-1</t>
  </si>
  <si>
    <t>Company</t>
  </si>
  <si>
    <t>Cell Phone</t>
  </si>
  <si>
    <t>Street:</t>
  </si>
  <si>
    <t>City &amp; State</t>
  </si>
  <si>
    <t>Notes:</t>
  </si>
  <si>
    <t>---&gt;</t>
  </si>
  <si>
    <t>CALCULATIONS PER SQUARE FOOT</t>
  </si>
  <si>
    <t>Estimate Cost:</t>
  </si>
  <si>
    <t>Cost Per Man Hr</t>
  </si>
  <si>
    <t xml:space="preserve">REALITY ESTIMATION </t>
  </si>
  <si>
    <t>Total SQFT</t>
  </si>
  <si>
    <t>Work Day Hours</t>
  </si>
  <si>
    <r>
      <t xml:space="preserve">Can We Do The Project In </t>
    </r>
    <r>
      <rPr>
        <sz val="16"/>
        <color rgb="FFFF0000"/>
        <rFont val="Arial Black"/>
        <family val="2"/>
      </rPr>
      <t>X</t>
    </r>
    <r>
      <rPr>
        <sz val="11"/>
        <color theme="1"/>
        <rFont val="Calibri"/>
        <family val="2"/>
        <scheme val="minor"/>
      </rPr>
      <t xml:space="preserve"> Days  --------&gt;&gt;&gt;&gt;&gt;&gt;&gt;&gt;&gt;&gt;&gt;</t>
    </r>
  </si>
  <si>
    <r>
      <t xml:space="preserve">Can We Do The Project With </t>
    </r>
    <r>
      <rPr>
        <sz val="16"/>
        <color rgb="FFFF0000"/>
        <rFont val="Arial Black"/>
        <family val="2"/>
      </rPr>
      <t>X</t>
    </r>
    <r>
      <rPr>
        <sz val="11"/>
        <color theme="1"/>
        <rFont val="Calibri"/>
        <family val="2"/>
        <scheme val="minor"/>
      </rPr>
      <t xml:space="preserve"> Workers  --------&gt;&gt;&gt;&gt;&gt;</t>
    </r>
  </si>
  <si>
    <t>SQFT PRICE</t>
  </si>
  <si>
    <t>DAYS</t>
  </si>
  <si>
    <t>WORKERS</t>
  </si>
  <si>
    <t xml:space="preserve">Final Cleaning Cost: $ </t>
  </si>
  <si>
    <t xml:space="preserve">Floor Cleaning Cost: $ </t>
  </si>
  <si>
    <t>Contact:</t>
  </si>
  <si>
    <t>Office Phone</t>
  </si>
  <si>
    <t>We propose to furnish all materials and perform labor necessary to complete</t>
  </si>
  <si>
    <r>
      <t>TERMS OF PAYMENT:  Net by the 10</t>
    </r>
    <r>
      <rPr>
        <vertAlign val="superscript"/>
        <sz val="12"/>
        <color theme="1"/>
        <rFont val="Arial"/>
        <family val="2"/>
      </rPr>
      <t>th</t>
    </r>
    <r>
      <rPr>
        <sz val="12"/>
        <color theme="1"/>
        <rFont val="Arial"/>
        <family val="2"/>
      </rPr>
      <t xml:space="preserve"> of following month</t>
    </r>
  </si>
  <si>
    <t>Date of Acceptance ______________ Signature________________</t>
  </si>
  <si>
    <t>switches, plug plates, baseboards, cabinets, restrooms, sweep and mop.</t>
  </si>
  <si>
    <r>
      <rPr>
        <sz val="11"/>
        <rFont val="Calibri"/>
        <family val="2"/>
        <scheme val="minor"/>
      </rPr>
      <t>v--</t>
    </r>
    <r>
      <rPr>
        <sz val="11"/>
        <color theme="1"/>
        <rFont val="Calibri"/>
        <family val="2"/>
        <scheme val="minor"/>
      </rPr>
      <t xml:space="preserve"> </t>
    </r>
    <r>
      <rPr>
        <sz val="11"/>
        <rFont val="Calibri"/>
        <family val="2"/>
        <scheme val="minor"/>
      </rPr>
      <t>Copy Below</t>
    </r>
    <r>
      <rPr>
        <sz val="11"/>
        <color theme="1"/>
        <rFont val="Calibri"/>
        <family val="2"/>
        <scheme val="minor"/>
      </rPr>
      <t xml:space="preserve"> </t>
    </r>
    <r>
      <rPr>
        <sz val="11"/>
        <rFont val="Calibri"/>
        <family val="2"/>
        <scheme val="minor"/>
      </rPr>
      <t xml:space="preserve">/ </t>
    </r>
    <r>
      <rPr>
        <sz val="11"/>
        <color rgb="FFFF0000"/>
        <rFont val="Calibri"/>
        <family val="2"/>
        <scheme val="minor"/>
      </rPr>
      <t>Paste "123"</t>
    </r>
    <r>
      <rPr>
        <sz val="11"/>
        <rFont val="Calibri"/>
        <family val="2"/>
        <scheme val="minor"/>
      </rPr>
      <t xml:space="preserve"> Above</t>
    </r>
    <r>
      <rPr>
        <sz val="11"/>
        <color theme="1"/>
        <rFont val="Calibri"/>
        <family val="2"/>
        <scheme val="minor"/>
      </rPr>
      <t xml:space="preserve"> </t>
    </r>
    <r>
      <rPr>
        <sz val="11"/>
        <rFont val="Calibri"/>
        <family val="2"/>
        <scheme val="minor"/>
      </rPr>
      <t>--^</t>
    </r>
  </si>
  <si>
    <r>
      <rPr>
        <sz val="11"/>
        <rFont val="Calibri"/>
        <family val="2"/>
        <scheme val="minor"/>
      </rPr>
      <t>Copy</t>
    </r>
    <r>
      <rPr>
        <sz val="11"/>
        <color theme="1"/>
        <rFont val="Calibri"/>
        <family val="2"/>
        <scheme val="minor"/>
      </rPr>
      <t>/Paste "123" -v</t>
    </r>
  </si>
  <si>
    <r>
      <rPr>
        <sz val="11"/>
        <rFont val="Calibri"/>
        <family val="2"/>
        <scheme val="minor"/>
      </rPr>
      <t>Date :</t>
    </r>
    <r>
      <rPr>
        <sz val="11"/>
        <color theme="1"/>
        <rFont val="Calibri"/>
        <family val="2"/>
        <scheme val="minor"/>
      </rPr>
      <t xml:space="preserve">  </t>
    </r>
  </si>
  <si>
    <t>CWM shall provide all taxes, insurance, and supervision needed to complete the project in a timely manner.  Payment will be made as outlined above.  In the event that a suit or action arises from any provision of this Agreement, or in the event this matter is referred to an attorney or collection agent, the prevailing party is entitled to his reasonable attorney fees and collection costs.</t>
  </si>
  <si>
    <t>This would be the cleaning of walls, doors, doorframes, lights, fixtures, vacuum,</t>
  </si>
  <si>
    <t>(360) 256-9250  -  (800) 643-5850  -  eburris@cwminc.com</t>
  </si>
  <si>
    <t>19312 NE 58th St.</t>
  </si>
  <si>
    <t>Vancouver, WA 98682</t>
  </si>
  <si>
    <t>FLOOR</t>
  </si>
  <si>
    <t>ADDRESS:</t>
  </si>
  <si>
    <t>W2F0026094</t>
  </si>
  <si>
    <t>OMWBE Certification Number:</t>
  </si>
  <si>
    <t>COMMENTS:</t>
  </si>
  <si>
    <t>CLEANING</t>
  </si>
  <si>
    <t>WINDOW WASHING</t>
  </si>
  <si>
    <t>WAXING</t>
  </si>
  <si>
    <t>COST</t>
  </si>
  <si>
    <t>Window Count</t>
  </si>
  <si>
    <t>Travel</t>
  </si>
  <si>
    <t>Hotel</t>
  </si>
  <si>
    <t>TRAVEL</t>
  </si>
  <si>
    <t>SUBTOTAL</t>
  </si>
  <si>
    <t>GRAND TOTAL</t>
  </si>
  <si>
    <t>LIFT</t>
  </si>
  <si>
    <t>COST ESTIMATE</t>
  </si>
  <si>
    <t>\/   -   MORE FLOORS   -  \/</t>
  </si>
  <si>
    <t xml:space="preserve">WINDOWS </t>
  </si>
  <si>
    <t xml:space="preserve">FLOOR WAXING </t>
  </si>
  <si>
    <t xml:space="preserve">AUTOSCRUB FLOORS  </t>
  </si>
  <si>
    <t>Estimating Dept.</t>
  </si>
  <si>
    <t>Estimating</t>
  </si>
  <si>
    <t>PARKING</t>
  </si>
  <si>
    <t>CLEANING ($ 727.00 MINIMUM)</t>
  </si>
  <si>
    <t>PREVAILING WAGE</t>
  </si>
  <si>
    <t>EMPLOYEE</t>
  </si>
  <si>
    <t>OFFICE</t>
  </si>
  <si>
    <t>TOTAL</t>
  </si>
  <si>
    <t>WASHINGTON STATE</t>
  </si>
  <si>
    <t>WAGE: 50.06</t>
  </si>
  <si>
    <t>COUNTY: CLARK</t>
  </si>
  <si>
    <t>Removal of factory finish and applying 3 coats of wax to VCT flooring.</t>
  </si>
  <si>
    <t>ADD 6% FOR ADDITIONAL COSTS</t>
  </si>
  <si>
    <t>Cleaning of all windows and frames, as well as all relites in the work area.</t>
  </si>
  <si>
    <t>High dusting and aerial lifts not included.</t>
  </si>
  <si>
    <t xml:space="preserve">Acknowledge Addendum(s) - </t>
  </si>
  <si>
    <t>General cleanup of work area. Following directions provided by supervisor.</t>
  </si>
  <si>
    <t>General Cleaning Cost: $ 38.50 per worker hour</t>
  </si>
  <si>
    <t>Elevator Driver Cost: $ 38.50 per worker hour</t>
  </si>
  <si>
    <t>English and Spanish speaking elevator driver. Normal work day (M-F)</t>
  </si>
  <si>
    <t>CARPET CLEANING</t>
  </si>
  <si>
    <t>FLOOR WAXING</t>
  </si>
  <si>
    <t>WAGE: 31.39</t>
  </si>
  <si>
    <t>FRINGE: 16.80</t>
  </si>
  <si>
    <t>General Cleaning Cost: $ 39.00 per worker hour</t>
  </si>
  <si>
    <t>Elevator Driver Cost: $  39.00 per worker hour</t>
  </si>
  <si>
    <t xml:space="preserve">_ Final Cleaning Cost: $ </t>
  </si>
  <si>
    <t>UPDATED: 1.30.205</t>
  </si>
  <si>
    <t>1.5.2025 - DATE</t>
  </si>
  <si>
    <t>WAGE: 40.91</t>
  </si>
  <si>
    <t>FRINGE: 17.30</t>
  </si>
  <si>
    <t>7.5.2024 - DATE</t>
  </si>
  <si>
    <t>11.8.2024 - DATE</t>
  </si>
  <si>
    <t>OR Property Services Contractor #61100</t>
  </si>
  <si>
    <t>WA Contractor License: CC CLEANMI752JJ</t>
  </si>
  <si>
    <t xml:space="preserve">Final Cleaning pricing is based on one standard post-construction final clean prior to </t>
  </si>
  <si>
    <t xml:space="preserve">Substantial Completion. Any additional cleaning required due to inspections, </t>
  </si>
  <si>
    <t>punch work, phased turnover, trade access, or post-clean re-soiling per drawings,</t>
  </si>
  <si>
    <t>specifications, or addenda will be treated as additional service.</t>
  </si>
  <si>
    <t>Estimating Department</t>
  </si>
  <si>
    <t>the following cleaning service at Prevailing Wage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</si>
</sst>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quot;$&quot;#,##0.00"/>
  </numFmts>
  <fonts count="35" x14ac:knownFonts="1">
    <font>
      <sz val="11"/>
      <color theme="1"/>
      <name val="Calibri"/>
      <family val="2"/>
      <scheme val="minor"/>
    </font>
    <font>
      <sz val="11"/>
      <color theme="1"/>
      <name val="Calibri"/>
      <family val="2"/>
      <scheme val="minor"/>
    </font>
    <font>
      <sz val="12"/>
      <color rgb="FF222222"/>
      <name val="Calibri"/>
      <family val="2"/>
      <scheme val="minor"/>
    </font>
    <font>
      <sz val="12"/>
      <color theme="1"/>
      <name val="Calibri"/>
      <family val="2"/>
      <scheme val="minor"/>
    </font>
    <font>
      <b/>
      <sz val="12"/>
      <color theme="1"/>
      <name val="Calibri"/>
      <family val="2"/>
      <scheme val="minor"/>
    </font>
    <font>
      <sz val="16"/>
      <color rgb="FFFF0000"/>
      <name val="Arial Black"/>
      <family val="2"/>
    </font>
    <font>
      <sz val="11"/>
      <color rgb="FFFF0000"/>
      <name val="Calibri"/>
      <family val="2"/>
      <scheme val="minor"/>
    </font>
    <font>
      <b/>
      <sz val="11"/>
      <color theme="1"/>
      <name val="Calibri"/>
      <family val="2"/>
      <scheme val="minor"/>
    </font>
    <font>
      <b/>
      <sz val="11"/>
      <name val="Calibri"/>
      <family val="2"/>
      <scheme val="minor"/>
    </font>
    <font>
      <b/>
      <sz val="14"/>
      <color theme="1"/>
      <name val="Calibri"/>
      <family val="2"/>
      <scheme val="minor"/>
    </font>
    <font>
      <sz val="11"/>
      <name val="Calibri"/>
      <family val="2"/>
      <scheme val="minor"/>
    </font>
    <font>
      <b/>
      <sz val="16"/>
      <color theme="1"/>
      <name val="Calibri"/>
      <family val="2"/>
      <scheme val="minor"/>
    </font>
    <font>
      <sz val="12"/>
      <color theme="1"/>
      <name val="Arial"/>
      <family val="2"/>
    </font>
    <font>
      <b/>
      <sz val="22"/>
      <color theme="9"/>
      <name val="Arial"/>
      <family val="2"/>
    </font>
    <font>
      <sz val="12"/>
      <color theme="1"/>
      <name val="Times New Roman"/>
      <family val="1"/>
    </font>
    <font>
      <vertAlign val="superscript"/>
      <sz val="12"/>
      <color theme="1"/>
      <name val="Arial"/>
      <family val="2"/>
    </font>
    <font>
      <u/>
      <sz val="18"/>
      <color rgb="FF009900"/>
      <name val="Lucida Handwriting"/>
      <family val="4"/>
    </font>
    <font>
      <b/>
      <sz val="14"/>
      <color theme="5" tint="-0.249977111117893"/>
      <name val="Calibri"/>
      <family val="2"/>
      <scheme val="minor"/>
    </font>
    <font>
      <b/>
      <sz val="11"/>
      <name val="Calibri"/>
      <family val="2"/>
      <scheme val="minor"/>
    </font>
    <font>
      <b/>
      <sz val="14"/>
      <color theme="1"/>
      <name val="Calibri"/>
      <family val="2"/>
      <scheme val="minor"/>
    </font>
    <font>
      <sz val="11"/>
      <color theme="1"/>
      <name val="Calibri"/>
      <family val="2"/>
      <scheme val="minor"/>
    </font>
    <font>
      <b/>
      <sz val="14"/>
      <color rgb="FFFF0000"/>
      <name val="Calibri"/>
      <family val="2"/>
      <scheme val="minor"/>
    </font>
    <font>
      <b/>
      <sz val="11"/>
      <color rgb="FFFFFF00"/>
      <name val="Calibri"/>
      <family val="2"/>
      <scheme val="minor"/>
    </font>
    <font>
      <b/>
      <sz val="14"/>
      <name val="Calibri"/>
      <family val="2"/>
      <scheme val="minor"/>
    </font>
    <font>
      <sz val="11"/>
      <color rgb="FFFF0000"/>
      <name val="Calibri"/>
      <family val="2"/>
      <scheme val="minor"/>
    </font>
    <font>
      <b/>
      <sz val="8"/>
      <name val="Calibri"/>
      <family val="2"/>
      <scheme val="minor"/>
    </font>
    <font>
      <sz val="11"/>
      <name val="Calibri"/>
      <family val="2"/>
      <scheme val="minor"/>
    </font>
    <font>
      <b/>
      <sz val="11"/>
      <color rgb="FFFF0000"/>
      <name val="Calibri"/>
      <family val="2"/>
      <scheme val="minor"/>
    </font>
    <font>
      <b/>
      <sz val="12"/>
      <color rgb="FFFF0000"/>
      <name val="Calibri"/>
      <family val="2"/>
      <scheme val="minor"/>
    </font>
    <font>
      <sz val="8"/>
      <name val="Calibri"/>
      <family val="2"/>
      <scheme val="minor"/>
    </font>
    <font>
      <b/>
      <sz val="8"/>
      <color rgb="FFFF0000"/>
      <name val="Calibri"/>
      <family val="2"/>
      <scheme val="minor"/>
    </font>
    <font>
      <b/>
      <sz val="12"/>
      <name val="Calibri"/>
      <family val="2"/>
      <scheme val="minor"/>
    </font>
    <font>
      <sz val="8"/>
      <color theme="1"/>
      <name val="Calibri"/>
      <family val="2"/>
      <scheme val="minor"/>
    </font>
    <font>
      <sz val="10"/>
      <name val="Arial"/>
      <family val="2"/>
    </font>
    <font>
      <sz val="12"/>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bgColor indexed="64"/>
      </patternFill>
    </fill>
    <fill>
      <patternFill patternType="solid">
        <fgColor theme="2"/>
        <bgColor indexed="64"/>
      </patternFill>
    </fill>
    <fill>
      <patternFill patternType="solid">
        <fgColor theme="1"/>
        <bgColor indexed="64"/>
      </patternFill>
    </fill>
    <fill>
      <patternFill patternType="solid">
        <fgColor theme="6"/>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00">
    <xf numFmtId="0" fontId="0" fillId="0" borderId="0" xfId="0"/>
    <xf numFmtId="44" fontId="0" fillId="0" borderId="0" xfId="1" applyFont="1"/>
    <xf numFmtId="0" fontId="3" fillId="0" borderId="0" xfId="0" applyFont="1"/>
    <xf numFmtId="0" fontId="4" fillId="2" borderId="0" xfId="0" applyFont="1" applyFill="1"/>
    <xf numFmtId="0" fontId="0" fillId="2" borderId="0" xfId="0" applyFill="1"/>
    <xf numFmtId="44" fontId="0" fillId="2" borderId="0" xfId="1" applyFont="1" applyFill="1"/>
    <xf numFmtId="0" fontId="2" fillId="2" borderId="0" xfId="0" applyFont="1" applyFill="1"/>
    <xf numFmtId="164" fontId="0" fillId="0" borderId="0" xfId="1" applyNumberFormat="1"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165" fontId="0" fillId="0" borderId="0" xfId="0" applyNumberFormat="1" applyAlignment="1">
      <alignment horizontal="center"/>
    </xf>
    <xf numFmtId="0" fontId="0" fillId="4" borderId="0" xfId="0" applyFill="1"/>
    <xf numFmtId="0" fontId="9" fillId="4" borderId="0" xfId="0" applyFont="1" applyFill="1"/>
    <xf numFmtId="1" fontId="0" fillId="4" borderId="0" xfId="0" applyNumberFormat="1" applyFill="1" applyAlignment="1">
      <alignment vertical="center"/>
    </xf>
    <xf numFmtId="0" fontId="9" fillId="10" borderId="0" xfId="0" applyFont="1" applyFill="1"/>
    <xf numFmtId="1" fontId="0" fillId="10" borderId="0" xfId="0" applyNumberFormat="1" applyFill="1" applyAlignment="1">
      <alignment vertical="center"/>
    </xf>
    <xf numFmtId="0" fontId="4" fillId="10" borderId="0" xfId="0" applyFont="1" applyFill="1"/>
    <xf numFmtId="0" fontId="11" fillId="4" borderId="0" xfId="0" applyFont="1" applyFill="1"/>
    <xf numFmtId="0" fontId="0" fillId="11" borderId="0" xfId="0" applyFill="1"/>
    <xf numFmtId="0" fontId="0" fillId="2" borderId="0" xfId="0" applyFill="1" applyAlignment="1">
      <alignment horizontal="center" vertical="center"/>
    </xf>
    <xf numFmtId="0" fontId="0" fillId="0" borderId="0" xfId="0" applyAlignment="1">
      <alignment horizontal="center" vertical="center"/>
    </xf>
    <xf numFmtId="0" fontId="0" fillId="3" borderId="4" xfId="0" applyFill="1" applyBorder="1" applyAlignment="1">
      <alignment horizontal="center"/>
    </xf>
    <xf numFmtId="0" fontId="0" fillId="5" borderId="0" xfId="0" applyFill="1"/>
    <xf numFmtId="0" fontId="0" fillId="5" borderId="9" xfId="0" applyFill="1" applyBorder="1"/>
    <xf numFmtId="0" fontId="7" fillId="10" borderId="0" xfId="0" applyFont="1" applyFill="1"/>
    <xf numFmtId="0" fontId="0" fillId="10" borderId="0" xfId="0" applyFill="1"/>
    <xf numFmtId="0" fontId="12"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7" fillId="4" borderId="0" xfId="0" applyFont="1" applyFill="1"/>
    <xf numFmtId="0" fontId="8" fillId="4" borderId="0" xfId="0" applyFont="1" applyFill="1" applyAlignment="1">
      <alignment horizontal="left"/>
    </xf>
    <xf numFmtId="14" fontId="8" fillId="4" borderId="0" xfId="0" applyNumberFormat="1" applyFont="1" applyFill="1" applyAlignment="1">
      <alignment horizontal="left"/>
    </xf>
    <xf numFmtId="0" fontId="18" fillId="5" borderId="0" xfId="0" applyFont="1" applyFill="1"/>
    <xf numFmtId="0" fontId="19" fillId="5" borderId="0" xfId="0" applyFont="1" applyFill="1"/>
    <xf numFmtId="0" fontId="20" fillId="0" borderId="0" xfId="0" applyFont="1"/>
    <xf numFmtId="0" fontId="21" fillId="6" borderId="0" xfId="0" applyFont="1" applyFill="1" applyAlignment="1">
      <alignment horizontal="left"/>
    </xf>
    <xf numFmtId="0" fontId="22" fillId="5" borderId="0" xfId="0" applyFont="1" applyFill="1" applyAlignment="1">
      <alignment horizontal="left"/>
    </xf>
    <xf numFmtId="0" fontId="23" fillId="5" borderId="0" xfId="0" applyFont="1" applyFill="1" applyAlignment="1">
      <alignment horizontal="left"/>
    </xf>
    <xf numFmtId="0" fontId="21" fillId="7" borderId="0" xfId="0" applyFont="1" applyFill="1" applyAlignment="1">
      <alignment horizontal="left"/>
    </xf>
    <xf numFmtId="0" fontId="20" fillId="4" borderId="0" xfId="0" applyFont="1" applyFill="1"/>
    <xf numFmtId="0" fontId="24" fillId="4" borderId="0" xfId="0" applyFont="1" applyFill="1"/>
    <xf numFmtId="14" fontId="25" fillId="4" borderId="0" xfId="0" applyNumberFormat="1" applyFont="1" applyFill="1" applyAlignment="1">
      <alignment horizontal="left"/>
    </xf>
    <xf numFmtId="1" fontId="26" fillId="4" borderId="0" xfId="0" applyNumberFormat="1" applyFont="1" applyFill="1" applyAlignment="1">
      <alignment vertical="center"/>
    </xf>
    <xf numFmtId="0" fontId="19" fillId="4" borderId="0" xfId="0" applyFont="1" applyFill="1"/>
    <xf numFmtId="0" fontId="27" fillId="4" borderId="0" xfId="0" applyFont="1" applyFill="1"/>
    <xf numFmtId="1" fontId="20" fillId="4" borderId="0" xfId="0" applyNumberFormat="1" applyFont="1" applyFill="1" applyAlignment="1">
      <alignment vertical="center"/>
    </xf>
    <xf numFmtId="0" fontId="21" fillId="4" borderId="0" xfId="0" applyFont="1" applyFill="1"/>
    <xf numFmtId="0" fontId="28" fillId="6" borderId="0" xfId="0" applyFont="1" applyFill="1" applyAlignment="1">
      <alignment horizontal="left"/>
    </xf>
    <xf numFmtId="0" fontId="29" fillId="0" borderId="0" xfId="0" applyFont="1" applyAlignment="1">
      <alignment horizontal="left" vertical="center"/>
    </xf>
    <xf numFmtId="14" fontId="30" fillId="8" borderId="0" xfId="0" applyNumberFormat="1" applyFont="1" applyFill="1" applyAlignment="1">
      <alignment horizontal="left"/>
    </xf>
    <xf numFmtId="14" fontId="28" fillId="6" borderId="0" xfId="0" applyNumberFormat="1" applyFont="1" applyFill="1" applyAlignment="1">
      <alignment horizontal="left"/>
    </xf>
    <xf numFmtId="0" fontId="23" fillId="4" borderId="0" xfId="0" applyFont="1" applyFill="1"/>
    <xf numFmtId="0" fontId="23" fillId="0" borderId="0" xfId="0" applyFont="1"/>
    <xf numFmtId="0" fontId="31" fillId="7" borderId="0" xfId="0" applyFont="1" applyFill="1" applyAlignment="1">
      <alignment horizontal="left"/>
    </xf>
    <xf numFmtId="0" fontId="32" fillId="4" borderId="0" xfId="0" applyFont="1" applyFill="1"/>
    <xf numFmtId="14" fontId="31" fillId="4" borderId="0" xfId="0" applyNumberFormat="1" applyFont="1" applyFill="1" applyAlignment="1">
      <alignment horizontal="left"/>
    </xf>
    <xf numFmtId="0" fontId="24" fillId="9" borderId="0" xfId="0" quotePrefix="1" applyFont="1" applyFill="1"/>
    <xf numFmtId="0" fontId="26" fillId="5" borderId="0" xfId="0" applyFont="1" applyFill="1"/>
    <xf numFmtId="0" fontId="23" fillId="5" borderId="0" xfId="0" applyFont="1" applyFill="1"/>
    <xf numFmtId="1" fontId="26" fillId="5" borderId="0" xfId="0" applyNumberFormat="1" applyFont="1" applyFill="1" applyAlignment="1">
      <alignment vertical="center"/>
    </xf>
    <xf numFmtId="0" fontId="24" fillId="9" borderId="0" xfId="0" applyFont="1" applyFill="1"/>
    <xf numFmtId="0" fontId="33" fillId="5" borderId="0" xfId="0" applyFont="1" applyFill="1" applyAlignment="1">
      <alignment vertical="center"/>
    </xf>
    <xf numFmtId="0" fontId="34" fillId="5" borderId="0" xfId="0" applyFont="1" applyFill="1"/>
    <xf numFmtId="0" fontId="4" fillId="4" borderId="0" xfId="0" applyFont="1" applyFill="1" applyAlignment="1">
      <alignment horizontal="center"/>
    </xf>
    <xf numFmtId="0" fontId="7" fillId="10" borderId="0" xfId="0" applyFont="1" applyFill="1" applyAlignment="1">
      <alignment horizontal="right"/>
    </xf>
    <xf numFmtId="0" fontId="7" fillId="10" borderId="0" xfId="0" applyFont="1" applyFill="1" applyAlignment="1">
      <alignment horizontal="center"/>
    </xf>
    <xf numFmtId="0" fontId="7" fillId="10" borderId="0" xfId="0" applyFont="1" applyFill="1" applyAlignment="1">
      <alignment horizontal="left"/>
    </xf>
    <xf numFmtId="0" fontId="7" fillId="4" borderId="0" xfId="0" applyFont="1" applyFill="1" applyAlignment="1">
      <alignment horizontal="right"/>
    </xf>
    <xf numFmtId="44" fontId="0" fillId="6" borderId="0" xfId="1" applyFont="1" applyFill="1"/>
    <xf numFmtId="0" fontId="7" fillId="10" borderId="0" xfId="0" applyFont="1" applyFill="1" applyAlignment="1">
      <alignment horizontal="left" vertical="top"/>
    </xf>
    <xf numFmtId="0" fontId="0" fillId="6" borderId="0" xfId="0" applyFill="1"/>
    <xf numFmtId="164" fontId="0" fillId="6" borderId="0" xfId="1" applyNumberFormat="1" applyFont="1" applyFill="1"/>
    <xf numFmtId="0" fontId="0" fillId="6" borderId="0" xfId="0" applyFill="1" applyAlignment="1">
      <alignment horizontal="center" vertical="center"/>
    </xf>
    <xf numFmtId="0" fontId="1" fillId="4" borderId="0" xfId="0" applyFont="1" applyFill="1"/>
    <xf numFmtId="1" fontId="1" fillId="4" borderId="0" xfId="0" applyNumberFormat="1" applyFont="1" applyFill="1" applyAlignment="1">
      <alignment vertical="center"/>
    </xf>
    <xf numFmtId="0" fontId="9" fillId="0" borderId="0" xfId="0" applyFont="1"/>
    <xf numFmtId="0" fontId="0" fillId="12" borderId="0" xfId="0" applyFill="1"/>
    <xf numFmtId="0" fontId="10" fillId="5" borderId="0" xfId="0" applyFont="1" applyFill="1"/>
    <xf numFmtId="0" fontId="0" fillId="13" borderId="0" xfId="0" applyFill="1"/>
    <xf numFmtId="0" fontId="6" fillId="9" borderId="0" xfId="0" quotePrefix="1" applyFont="1" applyFill="1"/>
    <xf numFmtId="0" fontId="9" fillId="5" borderId="0" xfId="0" applyFont="1" applyFill="1"/>
    <xf numFmtId="0" fontId="0" fillId="14" borderId="0" xfId="0" applyFill="1"/>
    <xf numFmtId="0" fontId="9" fillId="14" borderId="0" xfId="0" applyFont="1" applyFill="1"/>
    <xf numFmtId="1" fontId="0" fillId="14" borderId="0" xfId="0" applyNumberFormat="1" applyFill="1" applyAlignment="1">
      <alignment vertical="center"/>
    </xf>
    <xf numFmtId="0" fontId="7" fillId="6" borderId="0" xfId="0" applyFont="1" applyFill="1"/>
    <xf numFmtId="0" fontId="17" fillId="4" borderId="0" xfId="0" applyFont="1" applyFill="1" applyAlignment="1">
      <alignment horizontal="center"/>
    </xf>
    <xf numFmtId="0" fontId="23" fillId="0" borderId="0" xfId="0" applyFont="1" applyAlignment="1">
      <alignment horizontal="center"/>
    </xf>
    <xf numFmtId="0" fontId="4" fillId="2" borderId="1" xfId="0" applyFont="1" applyFill="1" applyBorder="1" applyAlignment="1">
      <alignment horizontal="left"/>
    </xf>
    <xf numFmtId="0" fontId="4" fillId="2" borderId="2" xfId="0" applyFont="1" applyFill="1" applyBorder="1" applyAlignment="1">
      <alignment horizontal="left"/>
    </xf>
    <xf numFmtId="0" fontId="4" fillId="2" borderId="3" xfId="0" applyFont="1" applyFill="1" applyBorder="1" applyAlignment="1">
      <alignment horizontal="left"/>
    </xf>
    <xf numFmtId="0" fontId="9" fillId="4" borderId="0" xfId="0" applyFont="1" applyFill="1" applyAlignment="1">
      <alignment horizontal="center"/>
    </xf>
    <xf numFmtId="0" fontId="13" fillId="4" borderId="0" xfId="0" applyFont="1" applyFill="1" applyAlignment="1">
      <alignment horizontal="center" vertical="center"/>
    </xf>
    <xf numFmtId="0" fontId="4" fillId="4" borderId="0" xfId="0" applyFont="1" applyFill="1" applyAlignment="1">
      <alignment horizontal="center"/>
    </xf>
    <xf numFmtId="0" fontId="12"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B10" sqref="B10"/>
    </sheetView>
  </sheetViews>
  <sheetFormatPr defaultColWidth="9.08984375" defaultRowHeight="14.5" x14ac:dyDescent="0.35"/>
  <cols>
    <col min="1" max="1" width="17.90625" style="40" customWidth="1"/>
    <col min="2" max="2" width="27" style="40" customWidth="1"/>
    <col min="3" max="3" width="20.453125" style="40" customWidth="1"/>
    <col min="4" max="4" width="30.6328125" style="40" customWidth="1"/>
    <col min="5" max="5" width="22.6328125" style="40" customWidth="1"/>
    <col min="6" max="6" width="42.453125" style="40" customWidth="1"/>
    <col min="7" max="7" width="17.54296875" style="40" hidden="1" customWidth="1"/>
    <col min="8" max="8" width="21.08984375" style="40" customWidth="1"/>
    <col min="9" max="16384" width="9.08984375" style="40"/>
  </cols>
  <sheetData>
    <row r="1" spans="1:8" ht="18.5" x14ac:dyDescent="0.45">
      <c r="A1" s="91" t="s">
        <v>15</v>
      </c>
      <c r="B1" s="91"/>
      <c r="C1" s="91"/>
      <c r="D1" s="91"/>
      <c r="E1" s="91"/>
      <c r="F1" s="38" t="s">
        <v>16</v>
      </c>
      <c r="G1" s="38"/>
      <c r="H1" s="39" t="s">
        <v>17</v>
      </c>
    </row>
    <row r="2" spans="1:8" ht="18.5" x14ac:dyDescent="0.45">
      <c r="A2" s="91" t="s">
        <v>102</v>
      </c>
      <c r="B2" s="91"/>
      <c r="C2" s="91"/>
      <c r="D2" s="91"/>
      <c r="E2" s="91"/>
      <c r="F2" s="41"/>
      <c r="G2" s="41">
        <v>1</v>
      </c>
      <c r="H2" s="41"/>
    </row>
    <row r="3" spans="1:8" ht="18.5" x14ac:dyDescent="0.45">
      <c r="A3" s="91"/>
      <c r="B3" s="91"/>
      <c r="C3" s="91"/>
      <c r="D3" s="91"/>
      <c r="E3" s="91"/>
      <c r="F3" s="42" t="s">
        <v>46</v>
      </c>
      <c r="G3" s="42"/>
      <c r="H3" s="43"/>
    </row>
    <row r="4" spans="1:8" ht="18.5" x14ac:dyDescent="0.45">
      <c r="A4" s="91"/>
      <c r="B4" s="91"/>
      <c r="C4" s="91"/>
      <c r="D4" s="91"/>
      <c r="E4" s="91"/>
      <c r="F4" s="44" t="s">
        <v>114</v>
      </c>
      <c r="G4" s="44">
        <v>1</v>
      </c>
      <c r="H4" s="44"/>
    </row>
    <row r="5" spans="1:8" ht="18.5" x14ac:dyDescent="0.45">
      <c r="A5" s="92"/>
      <c r="B5" s="92"/>
      <c r="C5" s="92"/>
      <c r="D5" s="92"/>
      <c r="E5" s="92"/>
      <c r="F5" s="44"/>
      <c r="G5" s="44"/>
      <c r="H5" s="44"/>
    </row>
    <row r="6" spans="1:8" ht="18.5" x14ac:dyDescent="0.45">
      <c r="A6" s="45" t="s">
        <v>18</v>
      </c>
      <c r="B6" s="45"/>
      <c r="C6" s="45"/>
      <c r="D6" s="45"/>
      <c r="E6" s="45"/>
      <c r="F6" s="44"/>
      <c r="G6" s="44"/>
      <c r="H6" s="44"/>
    </row>
    <row r="7" spans="1:8" ht="18.5" x14ac:dyDescent="0.45">
      <c r="A7" s="45"/>
      <c r="B7" s="46" t="s">
        <v>18</v>
      </c>
      <c r="C7" s="45"/>
      <c r="D7" s="45"/>
      <c r="E7" s="45"/>
      <c r="F7" s="44"/>
      <c r="G7" s="44"/>
      <c r="H7" s="44"/>
    </row>
    <row r="8" spans="1:8" ht="18.5" x14ac:dyDescent="0.45">
      <c r="A8" s="45"/>
      <c r="B8" s="47" t="s">
        <v>18</v>
      </c>
      <c r="C8" s="45"/>
      <c r="D8" s="48"/>
      <c r="F8" s="44"/>
      <c r="G8" s="44"/>
      <c r="H8" s="44"/>
    </row>
    <row r="9" spans="1:8" ht="18.5" x14ac:dyDescent="0.45">
      <c r="B9" s="49" t="s">
        <v>19</v>
      </c>
      <c r="C9" s="50" t="s">
        <v>47</v>
      </c>
      <c r="D9" s="51"/>
      <c r="E9" s="52" t="s">
        <v>48</v>
      </c>
      <c r="F9" s="44"/>
      <c r="G9" s="44"/>
      <c r="H9" s="44"/>
    </row>
    <row r="10" spans="1:8" ht="18.5" x14ac:dyDescent="0.45">
      <c r="A10" s="45"/>
      <c r="B10" s="53"/>
      <c r="C10" s="54" t="s">
        <v>20</v>
      </c>
      <c r="D10" s="55">
        <f ca="1">TODAY()</f>
        <v>46078</v>
      </c>
      <c r="E10" s="56">
        <v>42874</v>
      </c>
      <c r="F10" s="44"/>
      <c r="G10" s="44"/>
      <c r="H10" s="44"/>
    </row>
    <row r="11" spans="1:8" ht="18.5" x14ac:dyDescent="0.45">
      <c r="A11" s="45"/>
      <c r="B11" s="49" t="s">
        <v>21</v>
      </c>
      <c r="C11" s="49"/>
      <c r="D11" s="51" t="s">
        <v>18</v>
      </c>
      <c r="E11" s="57" t="s">
        <v>41</v>
      </c>
      <c r="F11" s="44"/>
      <c r="G11" s="44"/>
      <c r="H11" s="44"/>
    </row>
    <row r="12" spans="1:8" ht="18.5" x14ac:dyDescent="0.45">
      <c r="A12" s="45"/>
      <c r="B12" s="53"/>
      <c r="C12" s="79"/>
      <c r="D12" s="80"/>
      <c r="E12" s="53"/>
      <c r="F12" s="44"/>
      <c r="G12" s="44"/>
      <c r="H12" s="44"/>
    </row>
    <row r="13" spans="1:8" ht="18.5" x14ac:dyDescent="0.45">
      <c r="A13" s="45"/>
      <c r="B13" s="18" t="s">
        <v>23</v>
      </c>
      <c r="C13" s="18"/>
      <c r="D13" s="80"/>
      <c r="E13" s="58" t="s">
        <v>40</v>
      </c>
      <c r="F13" s="44"/>
      <c r="G13" s="44"/>
      <c r="H13" s="44"/>
    </row>
    <row r="14" spans="1:8" ht="18.5" x14ac:dyDescent="0.45">
      <c r="A14" s="45"/>
      <c r="B14" s="53"/>
      <c r="C14" s="79"/>
      <c r="D14" s="80"/>
      <c r="E14" s="59">
        <f>F2</f>
        <v>0</v>
      </c>
      <c r="F14" s="44"/>
      <c r="G14" s="44"/>
      <c r="H14" s="44"/>
    </row>
    <row r="15" spans="1:8" ht="18.5" x14ac:dyDescent="0.45">
      <c r="A15" s="45"/>
      <c r="B15" s="18" t="s">
        <v>24</v>
      </c>
      <c r="C15" s="18"/>
      <c r="D15" s="80"/>
      <c r="E15" s="81" t="s">
        <v>22</v>
      </c>
      <c r="F15" s="44"/>
      <c r="G15" s="44"/>
      <c r="H15" s="44"/>
    </row>
    <row r="16" spans="1:8" ht="18.5" x14ac:dyDescent="0.45">
      <c r="A16" s="60"/>
      <c r="B16" s="53"/>
      <c r="C16" s="79"/>
      <c r="D16" s="80"/>
      <c r="E16" s="59">
        <f>H2</f>
        <v>0</v>
      </c>
      <c r="F16" s="44"/>
      <c r="G16" s="44"/>
      <c r="H16" s="44"/>
    </row>
    <row r="17" spans="1:8" ht="18.5" x14ac:dyDescent="0.45">
      <c r="A17" s="45"/>
      <c r="B17" s="61" t="s">
        <v>18</v>
      </c>
      <c r="C17" s="49"/>
      <c r="D17" s="51"/>
      <c r="E17" s="52"/>
      <c r="F17" s="44"/>
      <c r="G17" s="44"/>
      <c r="H17" s="44"/>
    </row>
    <row r="18" spans="1:8" ht="18.5" x14ac:dyDescent="0.45">
      <c r="A18" s="45"/>
      <c r="B18" s="57" t="s">
        <v>25</v>
      </c>
      <c r="C18" s="49" t="s">
        <v>18</v>
      </c>
      <c r="D18" s="51"/>
      <c r="E18" s="52"/>
      <c r="F18" s="44"/>
      <c r="G18" s="44"/>
      <c r="H18" s="44"/>
    </row>
    <row r="19" spans="1:8" ht="18.5" x14ac:dyDescent="0.45">
      <c r="A19" s="62"/>
      <c r="B19" s="63" t="s">
        <v>42</v>
      </c>
      <c r="C19" s="64"/>
      <c r="D19" s="65"/>
      <c r="E19" s="65"/>
      <c r="F19" s="44"/>
      <c r="G19" s="44"/>
      <c r="H19" s="44"/>
    </row>
    <row r="20" spans="1:8" ht="18.5" x14ac:dyDescent="0.45">
      <c r="A20" s="66"/>
      <c r="B20" s="83" t="s">
        <v>115</v>
      </c>
      <c r="C20" s="63"/>
      <c r="D20" s="65"/>
      <c r="E20" s="65"/>
      <c r="F20" s="44"/>
      <c r="G20" s="44"/>
      <c r="H20" s="44"/>
    </row>
    <row r="21" spans="1:8" ht="18.5" x14ac:dyDescent="0.45">
      <c r="A21" s="66"/>
      <c r="B21" s="63"/>
      <c r="C21" s="63"/>
      <c r="D21" s="65"/>
      <c r="E21" s="65"/>
      <c r="F21" s="44"/>
      <c r="G21" s="44"/>
      <c r="H21" s="44"/>
    </row>
    <row r="22" spans="1:8" ht="18.5" x14ac:dyDescent="0.45">
      <c r="A22" s="66"/>
      <c r="B22" s="63"/>
      <c r="C22" s="63"/>
      <c r="D22" s="63"/>
      <c r="E22" s="63"/>
      <c r="F22" s="44"/>
      <c r="G22" s="44"/>
      <c r="H22" s="44"/>
    </row>
    <row r="23" spans="1:8" ht="18.5" x14ac:dyDescent="0.45">
      <c r="A23" s="66"/>
      <c r="B23" s="64" t="s">
        <v>38</v>
      </c>
      <c r="C23" s="63"/>
      <c r="D23" s="65"/>
      <c r="E23" s="65"/>
      <c r="F23" s="44"/>
      <c r="G23" s="44"/>
      <c r="H23" s="44"/>
    </row>
    <row r="24" spans="1:8" ht="18.5" x14ac:dyDescent="0.45">
      <c r="A24" s="62"/>
      <c r="B24" s="67" t="s">
        <v>50</v>
      </c>
      <c r="C24" s="63"/>
      <c r="D24" s="63"/>
      <c r="E24" s="63"/>
      <c r="F24" s="44"/>
      <c r="G24" s="44"/>
      <c r="H24" s="44"/>
    </row>
    <row r="25" spans="1:8" ht="18.5" x14ac:dyDescent="0.45">
      <c r="A25" s="62" t="s">
        <v>18</v>
      </c>
      <c r="B25" s="83" t="s">
        <v>45</v>
      </c>
      <c r="C25" s="63"/>
      <c r="D25" s="63"/>
      <c r="E25" s="63"/>
      <c r="F25" s="44"/>
      <c r="G25" s="44"/>
      <c r="H25" s="44"/>
    </row>
    <row r="26" spans="1:8" ht="18.5" x14ac:dyDescent="0.45">
      <c r="A26" s="85" t="s">
        <v>18</v>
      </c>
      <c r="B26" s="64" t="s">
        <v>101</v>
      </c>
      <c r="C26" s="63"/>
      <c r="D26" s="63"/>
      <c r="E26" s="65"/>
      <c r="F26" s="44"/>
      <c r="G26" s="44"/>
      <c r="H26" s="44"/>
    </row>
    <row r="27" spans="1:8" ht="18.5" x14ac:dyDescent="0.45">
      <c r="A27" s="62" t="s">
        <v>18</v>
      </c>
      <c r="B27" s="67" t="s">
        <v>50</v>
      </c>
      <c r="C27" s="63"/>
      <c r="D27" s="63"/>
      <c r="E27" s="63"/>
      <c r="F27" s="44"/>
      <c r="G27" s="44"/>
      <c r="H27" s="44"/>
    </row>
    <row r="28" spans="1:8" ht="18.5" x14ac:dyDescent="0.45">
      <c r="A28" s="62" t="s">
        <v>18</v>
      </c>
      <c r="B28" s="83" t="s">
        <v>45</v>
      </c>
      <c r="C28" s="63"/>
      <c r="D28" s="63"/>
      <c r="E28" s="63"/>
      <c r="F28" s="44"/>
      <c r="G28" s="44"/>
      <c r="H28" s="44"/>
    </row>
    <row r="29" spans="1:8" ht="18.5" x14ac:dyDescent="0.45">
      <c r="A29" s="62" t="s">
        <v>18</v>
      </c>
      <c r="B29" s="64" t="s">
        <v>39</v>
      </c>
      <c r="C29" s="63"/>
      <c r="D29" s="63"/>
      <c r="E29" s="65"/>
      <c r="F29" s="44"/>
      <c r="G29" s="44"/>
      <c r="H29" s="44"/>
    </row>
    <row r="30" spans="1:8" ht="18.5" x14ac:dyDescent="0.45">
      <c r="A30" s="62" t="s">
        <v>18</v>
      </c>
      <c r="B30" s="68" t="s">
        <v>86</v>
      </c>
      <c r="C30" s="63"/>
      <c r="D30" s="63"/>
      <c r="E30" s="63"/>
      <c r="F30" s="44"/>
      <c r="G30" s="44"/>
      <c r="H30" s="44"/>
    </row>
    <row r="31" spans="1:8" ht="18.5" x14ac:dyDescent="0.45">
      <c r="A31" s="85" t="s">
        <v>26</v>
      </c>
      <c r="B31" s="63" t="s">
        <v>18</v>
      </c>
      <c r="C31" s="63"/>
      <c r="D31" s="63"/>
      <c r="E31" s="63"/>
      <c r="F31" s="44"/>
      <c r="G31" s="44"/>
      <c r="H31" s="44"/>
    </row>
    <row r="32" spans="1:8" ht="18.5" x14ac:dyDescent="0.45">
      <c r="A32" s="85" t="s">
        <v>26</v>
      </c>
      <c r="B32" s="86" t="s">
        <v>92</v>
      </c>
      <c r="C32" s="63"/>
      <c r="D32" s="63"/>
      <c r="E32" s="63"/>
      <c r="F32" s="44"/>
      <c r="G32" s="44"/>
      <c r="H32" s="44"/>
    </row>
    <row r="33" spans="1:8" ht="18.5" x14ac:dyDescent="0.45">
      <c r="A33" s="85" t="s">
        <v>26</v>
      </c>
      <c r="B33" s="28" t="s">
        <v>91</v>
      </c>
      <c r="C33" s="63"/>
      <c r="D33" s="63"/>
      <c r="E33" s="63"/>
      <c r="F33" s="44"/>
      <c r="G33" s="44"/>
      <c r="H33" s="44"/>
    </row>
    <row r="34" spans="1:8" ht="18.5" x14ac:dyDescent="0.45">
      <c r="A34" s="85" t="s">
        <v>26</v>
      </c>
      <c r="B34" s="28"/>
      <c r="C34" s="63"/>
      <c r="D34" s="63"/>
      <c r="E34" s="63"/>
      <c r="F34" s="44"/>
      <c r="G34" s="44"/>
      <c r="H34" s="44"/>
    </row>
    <row r="35" spans="1:8" ht="18.5" x14ac:dyDescent="0.45">
      <c r="A35" s="85" t="s">
        <v>26</v>
      </c>
      <c r="B35" s="86" t="s">
        <v>93</v>
      </c>
      <c r="C35" s="63"/>
      <c r="D35" s="63"/>
      <c r="E35" s="63"/>
      <c r="F35" s="44"/>
      <c r="G35" s="44"/>
      <c r="H35" s="44"/>
    </row>
    <row r="36" spans="1:8" ht="18.5" x14ac:dyDescent="0.45">
      <c r="A36" s="85" t="s">
        <v>26</v>
      </c>
      <c r="B36" s="28" t="s">
        <v>94</v>
      </c>
      <c r="C36" s="63"/>
      <c r="D36" s="63"/>
      <c r="E36" s="63"/>
      <c r="F36" s="44"/>
      <c r="G36" s="44"/>
      <c r="H36" s="44"/>
    </row>
    <row r="37" spans="1:8" ht="18.5" x14ac:dyDescent="0.45">
      <c r="A37" s="85" t="s">
        <v>26</v>
      </c>
      <c r="B37" s="63" t="s">
        <v>18</v>
      </c>
      <c r="C37" s="63"/>
      <c r="D37" s="63"/>
      <c r="E37" s="63"/>
      <c r="F37" s="44"/>
      <c r="G37" s="44"/>
      <c r="H37" s="44"/>
    </row>
    <row r="38" spans="1:8" ht="18.5" x14ac:dyDescent="0.45">
      <c r="A38" s="85" t="s">
        <v>26</v>
      </c>
      <c r="B38" s="63" t="s">
        <v>18</v>
      </c>
      <c r="C38" s="63"/>
      <c r="D38" s="63"/>
      <c r="E38" s="63"/>
      <c r="F38" s="44"/>
      <c r="G38" s="44"/>
      <c r="H38" s="44"/>
    </row>
    <row r="39" spans="1:8" ht="18.5" x14ac:dyDescent="0.45">
      <c r="A39" s="85" t="s">
        <v>26</v>
      </c>
      <c r="B39" s="63" t="s">
        <v>18</v>
      </c>
      <c r="C39" s="63"/>
      <c r="D39" s="63"/>
      <c r="E39" s="63"/>
      <c r="F39" s="44"/>
      <c r="G39" s="44"/>
      <c r="H39" s="44"/>
    </row>
  </sheetData>
  <mergeCells count="5">
    <mergeCell ref="A1:E1"/>
    <mergeCell ref="A2:E2"/>
    <mergeCell ref="A3:E3"/>
    <mergeCell ref="A4:E4"/>
    <mergeCell ref="A5:E5"/>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5"/>
  <sheetViews>
    <sheetView workbookViewId="0">
      <selection activeCell="A21" sqref="A21:XFD66"/>
    </sheetView>
  </sheetViews>
  <sheetFormatPr defaultRowHeight="14.5" x14ac:dyDescent="0.35"/>
  <cols>
    <col min="1" max="1" width="51.54296875" customWidth="1"/>
    <col min="2" max="2" width="15.08984375" customWidth="1"/>
    <col min="3" max="3" width="15.6328125" customWidth="1"/>
    <col min="4" max="4" width="18" customWidth="1"/>
    <col min="5" max="5" width="17.26953125" customWidth="1"/>
    <col min="6" max="6" width="10.54296875" customWidth="1"/>
    <col min="7" max="7" width="12.453125" customWidth="1"/>
    <col min="8" max="8" width="14.54296875" customWidth="1"/>
    <col min="9" max="9" width="10.81640625" customWidth="1"/>
    <col min="10" max="10" width="14.08984375" customWidth="1"/>
    <col min="11" max="11" width="15.90625" customWidth="1"/>
    <col min="13" max="13" width="13.08984375" customWidth="1"/>
    <col min="14" max="14" width="12.6328125" customWidth="1"/>
  </cols>
  <sheetData>
    <row r="1" spans="1:11" ht="15.5" x14ac:dyDescent="0.35">
      <c r="A1" s="6"/>
      <c r="C1" s="1"/>
      <c r="D1" s="1"/>
    </row>
    <row r="2" spans="1:11" ht="15.5" x14ac:dyDescent="0.35">
      <c r="A2" s="3"/>
      <c r="C2" s="1"/>
      <c r="D2" s="1"/>
    </row>
    <row r="3" spans="1:11" ht="15.5" x14ac:dyDescent="0.35">
      <c r="A3" s="2"/>
      <c r="C3" s="1"/>
      <c r="D3" s="1"/>
    </row>
    <row r="4" spans="1:11" ht="15.5" x14ac:dyDescent="0.35">
      <c r="A4" s="3" t="s">
        <v>27</v>
      </c>
      <c r="B4" s="27" t="s">
        <v>31</v>
      </c>
      <c r="C4" s="5" t="s">
        <v>28</v>
      </c>
      <c r="D4" s="24" t="s">
        <v>9</v>
      </c>
    </row>
    <row r="5" spans="1:11" ht="15.5" x14ac:dyDescent="0.35">
      <c r="A5" s="2"/>
      <c r="C5" s="1">
        <v>0.27</v>
      </c>
      <c r="D5" s="1">
        <f>+B5*C5</f>
        <v>0</v>
      </c>
    </row>
    <row r="6" spans="1:11" ht="15.5" x14ac:dyDescent="0.35">
      <c r="A6" s="2"/>
      <c r="C6" s="1"/>
      <c r="D6" s="1"/>
    </row>
    <row r="9" spans="1:11" ht="15.5" x14ac:dyDescent="0.35">
      <c r="A9" s="3" t="s">
        <v>70</v>
      </c>
      <c r="B9" s="24" t="s">
        <v>62</v>
      </c>
      <c r="C9" s="25" t="s">
        <v>29</v>
      </c>
      <c r="D9" s="4" t="s">
        <v>10</v>
      </c>
      <c r="E9" s="25" t="s">
        <v>32</v>
      </c>
      <c r="F9" s="5" t="s">
        <v>11</v>
      </c>
      <c r="G9" s="4"/>
    </row>
    <row r="10" spans="1:11" x14ac:dyDescent="0.35">
      <c r="A10" t="s">
        <v>59</v>
      </c>
      <c r="B10" s="1">
        <v>0</v>
      </c>
      <c r="C10" s="1">
        <v>39.5</v>
      </c>
      <c r="D10" s="7">
        <f>+B10/C10</f>
        <v>0</v>
      </c>
      <c r="E10" s="26">
        <v>9</v>
      </c>
      <c r="F10">
        <f>+D10/E10</f>
        <v>0</v>
      </c>
    </row>
    <row r="11" spans="1:11" x14ac:dyDescent="0.35">
      <c r="A11" t="s">
        <v>60</v>
      </c>
      <c r="B11" s="1">
        <v>0</v>
      </c>
      <c r="C11" s="1">
        <v>39.5</v>
      </c>
      <c r="D11" s="7">
        <f t="shared" ref="D11:D12" si="0">+B11/C11</f>
        <v>0</v>
      </c>
      <c r="E11" s="26">
        <v>9</v>
      </c>
      <c r="F11">
        <f t="shared" ref="F11:F12" si="1">+D11/E11</f>
        <v>0</v>
      </c>
    </row>
    <row r="12" spans="1:11" x14ac:dyDescent="0.35">
      <c r="A12" t="s">
        <v>61</v>
      </c>
      <c r="B12" s="1">
        <v>0</v>
      </c>
      <c r="C12" s="1">
        <v>39.5</v>
      </c>
      <c r="D12" s="7">
        <f t="shared" si="0"/>
        <v>0</v>
      </c>
      <c r="E12" s="26">
        <v>9</v>
      </c>
      <c r="F12">
        <f t="shared" si="1"/>
        <v>0</v>
      </c>
      <c r="H12" s="24" t="s">
        <v>55</v>
      </c>
      <c r="I12" s="24"/>
      <c r="J12" s="24"/>
      <c r="K12" s="24"/>
    </row>
    <row r="13" spans="1:11" x14ac:dyDescent="0.35">
      <c r="A13" t="s">
        <v>66</v>
      </c>
      <c r="B13" s="1">
        <v>0</v>
      </c>
      <c r="C13" s="1"/>
      <c r="D13" s="7"/>
      <c r="E13" s="26"/>
      <c r="H13" s="24"/>
      <c r="I13" s="24"/>
      <c r="J13" s="24"/>
      <c r="K13" s="24"/>
    </row>
    <row r="14" spans="1:11" x14ac:dyDescent="0.35">
      <c r="A14" t="s">
        <v>69</v>
      </c>
      <c r="B14" s="1">
        <v>0</v>
      </c>
      <c r="C14" s="1"/>
      <c r="D14" s="7"/>
      <c r="E14" s="26"/>
      <c r="H14" s="24"/>
      <c r="I14" s="24"/>
      <c r="J14" s="24"/>
      <c r="K14" s="24"/>
    </row>
    <row r="15" spans="1:11" hidden="1" x14ac:dyDescent="0.35">
      <c r="A15" t="s">
        <v>67</v>
      </c>
      <c r="B15" s="1"/>
      <c r="C15" s="1"/>
      <c r="D15" s="7"/>
      <c r="E15" s="26"/>
      <c r="H15" s="76"/>
      <c r="I15" s="76"/>
      <c r="J15" s="76"/>
      <c r="K15" s="76"/>
    </row>
    <row r="16" spans="1:11" x14ac:dyDescent="0.35">
      <c r="A16" t="s">
        <v>77</v>
      </c>
      <c r="B16" s="1">
        <v>0</v>
      </c>
      <c r="C16" s="1"/>
      <c r="D16" s="7"/>
      <c r="E16" s="26"/>
      <c r="H16" s="76" t="s">
        <v>58</v>
      </c>
      <c r="I16" s="76"/>
      <c r="J16" s="76"/>
      <c r="K16" s="76"/>
    </row>
    <row r="17" spans="1:11" x14ac:dyDescent="0.35">
      <c r="A17" t="s">
        <v>87</v>
      </c>
      <c r="B17" s="1">
        <v>0</v>
      </c>
      <c r="C17" s="1"/>
      <c r="D17" s="7"/>
      <c r="E17" s="26"/>
      <c r="H17" s="76"/>
      <c r="I17" s="76"/>
      <c r="J17" s="76"/>
      <c r="K17" s="76"/>
    </row>
    <row r="18" spans="1:11" x14ac:dyDescent="0.35">
      <c r="A18" t="s">
        <v>68</v>
      </c>
      <c r="B18" s="74">
        <f>SUM(B10:B17)</f>
        <v>0</v>
      </c>
      <c r="C18" s="1"/>
      <c r="D18" s="7"/>
      <c r="E18" s="26"/>
      <c r="H18" s="76"/>
      <c r="I18" s="76"/>
      <c r="J18" s="76"/>
      <c r="K18" s="76"/>
    </row>
    <row r="19" spans="1:11" x14ac:dyDescent="0.35">
      <c r="C19" s="1"/>
      <c r="D19" s="7"/>
      <c r="E19" s="26"/>
      <c r="H19" s="76"/>
      <c r="I19" s="76"/>
      <c r="J19" s="76"/>
      <c r="K19" s="76"/>
    </row>
    <row r="20" spans="1:11" x14ac:dyDescent="0.35">
      <c r="A20" s="76" t="s">
        <v>71</v>
      </c>
      <c r="B20" s="76"/>
      <c r="C20" s="74"/>
      <c r="D20" s="77"/>
      <c r="E20" s="78"/>
      <c r="F20" s="76"/>
      <c r="G20" s="76"/>
      <c r="H20" s="76"/>
      <c r="I20" s="76"/>
      <c r="J20" s="76"/>
      <c r="K20" s="76"/>
    </row>
    <row r="21" spans="1:11" hidden="1" x14ac:dyDescent="0.35">
      <c r="C21" s="1"/>
      <c r="D21" s="7"/>
      <c r="E21" s="26"/>
      <c r="H21" s="76"/>
      <c r="I21" s="76"/>
      <c r="J21" s="76"/>
      <c r="K21" s="76"/>
    </row>
    <row r="22" spans="1:11" ht="15.5" hidden="1" x14ac:dyDescent="0.35">
      <c r="A22" s="3" t="s">
        <v>70</v>
      </c>
      <c r="B22" s="24" t="s">
        <v>62</v>
      </c>
      <c r="C22" s="25" t="s">
        <v>29</v>
      </c>
      <c r="D22" s="4" t="s">
        <v>10</v>
      </c>
      <c r="E22" s="25" t="s">
        <v>32</v>
      </c>
      <c r="F22" s="5" t="s">
        <v>11</v>
      </c>
      <c r="G22" s="4"/>
    </row>
    <row r="23" spans="1:11" hidden="1" x14ac:dyDescent="0.35">
      <c r="A23" t="s">
        <v>59</v>
      </c>
      <c r="B23" s="1">
        <v>0</v>
      </c>
      <c r="C23" s="1">
        <v>39.5</v>
      </c>
      <c r="D23" s="7">
        <f>+B23/C23</f>
        <v>0</v>
      </c>
      <c r="E23" s="26">
        <v>9</v>
      </c>
      <c r="F23">
        <f>+D23/E23</f>
        <v>0</v>
      </c>
    </row>
    <row r="24" spans="1:11" hidden="1" x14ac:dyDescent="0.35">
      <c r="A24" t="s">
        <v>60</v>
      </c>
      <c r="B24" s="1">
        <v>0</v>
      </c>
      <c r="C24" s="1">
        <v>39.5</v>
      </c>
      <c r="D24" s="7">
        <f t="shared" ref="D24:D25" si="2">+B24/C24</f>
        <v>0</v>
      </c>
      <c r="E24" s="26">
        <v>9</v>
      </c>
      <c r="F24">
        <f t="shared" ref="F24:F25" si="3">+D24/E24</f>
        <v>0</v>
      </c>
    </row>
    <row r="25" spans="1:11" hidden="1" x14ac:dyDescent="0.35">
      <c r="A25" t="s">
        <v>61</v>
      </c>
      <c r="B25" s="1">
        <v>0</v>
      </c>
      <c r="C25" s="1">
        <v>39.5</v>
      </c>
      <c r="D25" s="7">
        <f t="shared" si="2"/>
        <v>0</v>
      </c>
      <c r="E25" s="26">
        <v>9</v>
      </c>
      <c r="F25">
        <f t="shared" si="3"/>
        <v>0</v>
      </c>
    </row>
    <row r="26" spans="1:11" hidden="1" x14ac:dyDescent="0.35">
      <c r="A26" t="s">
        <v>66</v>
      </c>
      <c r="B26" s="1">
        <v>0</v>
      </c>
      <c r="C26" s="1"/>
      <c r="D26" s="7"/>
      <c r="E26" s="26"/>
    </row>
    <row r="27" spans="1:11" hidden="1" x14ac:dyDescent="0.35">
      <c r="A27" t="s">
        <v>69</v>
      </c>
      <c r="B27" s="1">
        <v>0</v>
      </c>
      <c r="C27" s="1"/>
      <c r="D27" s="7"/>
      <c r="E27" s="26"/>
    </row>
    <row r="28" spans="1:11" hidden="1" x14ac:dyDescent="0.35">
      <c r="A28" t="s">
        <v>67</v>
      </c>
      <c r="B28" s="1"/>
      <c r="C28" s="1"/>
      <c r="D28" s="7"/>
      <c r="E28" s="26"/>
    </row>
    <row r="29" spans="1:11" hidden="1" x14ac:dyDescent="0.35">
      <c r="A29" t="s">
        <v>77</v>
      </c>
      <c r="B29" s="1">
        <v>0</v>
      </c>
      <c r="C29" s="1"/>
      <c r="D29" s="7"/>
      <c r="E29" s="26"/>
    </row>
    <row r="30" spans="1:11" hidden="1" x14ac:dyDescent="0.35">
      <c r="A30" t="s">
        <v>87</v>
      </c>
      <c r="B30" s="1">
        <v>0</v>
      </c>
      <c r="C30" s="1"/>
      <c r="D30" s="7"/>
      <c r="E30" s="26"/>
    </row>
    <row r="31" spans="1:11" hidden="1" x14ac:dyDescent="0.35">
      <c r="A31" t="s">
        <v>68</v>
      </c>
      <c r="B31" s="74">
        <f>SUM(B23:B30)</f>
        <v>0</v>
      </c>
      <c r="C31" s="1"/>
      <c r="D31" s="7"/>
      <c r="E31" s="26"/>
    </row>
    <row r="32" spans="1:11" hidden="1" x14ac:dyDescent="0.35">
      <c r="C32" s="1"/>
      <c r="D32" s="7"/>
      <c r="E32" s="26"/>
    </row>
    <row r="33" spans="1:7" ht="15.5" hidden="1" x14ac:dyDescent="0.35">
      <c r="A33" s="3" t="s">
        <v>70</v>
      </c>
      <c r="B33" s="24" t="s">
        <v>62</v>
      </c>
      <c r="C33" s="25" t="s">
        <v>29</v>
      </c>
      <c r="D33" s="4" t="s">
        <v>10</v>
      </c>
      <c r="E33" s="25" t="s">
        <v>32</v>
      </c>
      <c r="F33" s="5" t="s">
        <v>11</v>
      </c>
      <c r="G33" s="4"/>
    </row>
    <row r="34" spans="1:7" hidden="1" x14ac:dyDescent="0.35">
      <c r="A34" t="s">
        <v>59</v>
      </c>
      <c r="B34" s="1">
        <v>0</v>
      </c>
      <c r="C34" s="1">
        <v>39.5</v>
      </c>
      <c r="D34" s="7">
        <f>+B34/C34</f>
        <v>0</v>
      </c>
      <c r="E34" s="26">
        <v>9</v>
      </c>
      <c r="F34">
        <f>+D34/E34</f>
        <v>0</v>
      </c>
    </row>
    <row r="35" spans="1:7" hidden="1" x14ac:dyDescent="0.35">
      <c r="A35" t="s">
        <v>60</v>
      </c>
      <c r="B35" s="1">
        <v>0</v>
      </c>
      <c r="C35" s="1">
        <v>39.5</v>
      </c>
      <c r="D35" s="7">
        <f t="shared" ref="D35:D36" si="4">+B35/C35</f>
        <v>0</v>
      </c>
      <c r="E35" s="26">
        <v>9</v>
      </c>
      <c r="F35">
        <f t="shared" ref="F35:F36" si="5">+D35/E35</f>
        <v>0</v>
      </c>
    </row>
    <row r="36" spans="1:7" hidden="1" x14ac:dyDescent="0.35">
      <c r="A36" t="s">
        <v>61</v>
      </c>
      <c r="B36" s="1">
        <v>0</v>
      </c>
      <c r="C36" s="1">
        <v>39.5</v>
      </c>
      <c r="D36" s="7">
        <f t="shared" si="4"/>
        <v>0</v>
      </c>
      <c r="E36" s="26">
        <v>9</v>
      </c>
      <c r="F36">
        <f t="shared" si="5"/>
        <v>0</v>
      </c>
    </row>
    <row r="37" spans="1:7" hidden="1" x14ac:dyDescent="0.35">
      <c r="A37" t="s">
        <v>66</v>
      </c>
      <c r="B37" s="1">
        <v>0</v>
      </c>
      <c r="C37" s="1"/>
      <c r="D37" s="7"/>
      <c r="E37" s="26"/>
    </row>
    <row r="38" spans="1:7" hidden="1" x14ac:dyDescent="0.35">
      <c r="A38" t="s">
        <v>69</v>
      </c>
      <c r="B38" s="1">
        <v>0</v>
      </c>
      <c r="C38" s="1"/>
      <c r="D38" s="7"/>
      <c r="E38" s="26"/>
    </row>
    <row r="39" spans="1:7" hidden="1" x14ac:dyDescent="0.35">
      <c r="A39" t="s">
        <v>67</v>
      </c>
      <c r="B39" s="1"/>
      <c r="C39" s="1"/>
      <c r="D39" s="7"/>
      <c r="E39" s="26"/>
    </row>
    <row r="40" spans="1:7" hidden="1" x14ac:dyDescent="0.35">
      <c r="A40" t="s">
        <v>77</v>
      </c>
      <c r="B40" s="1">
        <v>0</v>
      </c>
      <c r="C40" s="1"/>
      <c r="D40" s="7"/>
      <c r="E40" s="26"/>
    </row>
    <row r="41" spans="1:7" hidden="1" x14ac:dyDescent="0.35">
      <c r="A41" t="s">
        <v>87</v>
      </c>
      <c r="B41" s="1">
        <v>0</v>
      </c>
      <c r="C41" s="1"/>
      <c r="D41" s="7"/>
      <c r="E41" s="26"/>
    </row>
    <row r="42" spans="1:7" hidden="1" x14ac:dyDescent="0.35">
      <c r="A42" t="s">
        <v>68</v>
      </c>
      <c r="B42" s="74">
        <f>SUM(B34:B41)</f>
        <v>0</v>
      </c>
      <c r="C42" s="1"/>
      <c r="D42" s="7"/>
      <c r="E42" s="26"/>
    </row>
    <row r="43" spans="1:7" hidden="1" x14ac:dyDescent="0.35">
      <c r="C43" s="1"/>
      <c r="D43" s="7"/>
      <c r="E43" s="26"/>
    </row>
    <row r="44" spans="1:7" ht="15.5" hidden="1" x14ac:dyDescent="0.35">
      <c r="A44" s="3" t="s">
        <v>70</v>
      </c>
      <c r="B44" s="24" t="s">
        <v>62</v>
      </c>
      <c r="C44" s="25" t="s">
        <v>29</v>
      </c>
      <c r="D44" s="4" t="s">
        <v>10</v>
      </c>
      <c r="E44" s="25" t="s">
        <v>32</v>
      </c>
      <c r="F44" s="5" t="s">
        <v>11</v>
      </c>
      <c r="G44" s="4"/>
    </row>
    <row r="45" spans="1:7" hidden="1" x14ac:dyDescent="0.35">
      <c r="A45" t="s">
        <v>59</v>
      </c>
      <c r="B45" s="1">
        <v>0</v>
      </c>
      <c r="C45" s="1">
        <v>39.5</v>
      </c>
      <c r="D45" s="7">
        <f>+B45/C45</f>
        <v>0</v>
      </c>
      <c r="E45" s="26">
        <v>9</v>
      </c>
      <c r="F45">
        <f>+D45/E45</f>
        <v>0</v>
      </c>
    </row>
    <row r="46" spans="1:7" hidden="1" x14ac:dyDescent="0.35">
      <c r="A46" t="s">
        <v>60</v>
      </c>
      <c r="B46" s="1">
        <v>0</v>
      </c>
      <c r="C46" s="1">
        <v>39.5</v>
      </c>
      <c r="D46" s="7">
        <f t="shared" ref="D46:D47" si="6">+B46/C46</f>
        <v>0</v>
      </c>
      <c r="E46" s="26">
        <v>9</v>
      </c>
      <c r="F46">
        <f t="shared" ref="F46:F47" si="7">+D46/E46</f>
        <v>0</v>
      </c>
    </row>
    <row r="47" spans="1:7" hidden="1" x14ac:dyDescent="0.35">
      <c r="A47" t="s">
        <v>61</v>
      </c>
      <c r="B47" s="1">
        <v>0</v>
      </c>
      <c r="C47" s="1">
        <v>39.5</v>
      </c>
      <c r="D47" s="7">
        <f t="shared" si="6"/>
        <v>0</v>
      </c>
      <c r="E47" s="26">
        <v>9</v>
      </c>
      <c r="F47">
        <f t="shared" si="7"/>
        <v>0</v>
      </c>
    </row>
    <row r="48" spans="1:7" hidden="1" x14ac:dyDescent="0.35">
      <c r="A48" t="s">
        <v>66</v>
      </c>
      <c r="B48" s="1">
        <v>0</v>
      </c>
      <c r="C48" s="1"/>
      <c r="D48" s="7"/>
      <c r="E48" s="26"/>
    </row>
    <row r="49" spans="1:7" hidden="1" x14ac:dyDescent="0.35">
      <c r="A49" t="s">
        <v>69</v>
      </c>
      <c r="B49" s="1">
        <v>0</v>
      </c>
      <c r="C49" s="1"/>
      <c r="D49" s="7"/>
      <c r="E49" s="26"/>
    </row>
    <row r="50" spans="1:7" hidden="1" x14ac:dyDescent="0.35">
      <c r="A50" t="s">
        <v>67</v>
      </c>
      <c r="B50" s="1"/>
      <c r="C50" s="1"/>
      <c r="D50" s="7"/>
      <c r="E50" s="26"/>
    </row>
    <row r="51" spans="1:7" hidden="1" x14ac:dyDescent="0.35">
      <c r="A51" t="s">
        <v>77</v>
      </c>
      <c r="B51" s="1">
        <v>0</v>
      </c>
      <c r="C51" s="1"/>
      <c r="D51" s="7"/>
      <c r="E51" s="26"/>
    </row>
    <row r="52" spans="1:7" hidden="1" x14ac:dyDescent="0.35">
      <c r="A52" t="s">
        <v>87</v>
      </c>
      <c r="B52" s="1">
        <v>0</v>
      </c>
      <c r="C52" s="1"/>
      <c r="D52" s="7"/>
      <c r="E52" s="26"/>
    </row>
    <row r="53" spans="1:7" hidden="1" x14ac:dyDescent="0.35">
      <c r="A53" t="s">
        <v>68</v>
      </c>
      <c r="B53" s="74">
        <f>SUM(B45:B52)</f>
        <v>0</v>
      </c>
      <c r="C53" s="1"/>
      <c r="D53" s="7"/>
      <c r="E53" s="26"/>
    </row>
    <row r="54" spans="1:7" hidden="1" x14ac:dyDescent="0.35">
      <c r="C54" s="1"/>
      <c r="D54" s="7"/>
      <c r="E54" s="26"/>
    </row>
    <row r="55" spans="1:7" ht="15.5" hidden="1" x14ac:dyDescent="0.35">
      <c r="A55" s="3" t="s">
        <v>70</v>
      </c>
      <c r="B55" s="24" t="s">
        <v>62</v>
      </c>
      <c r="C55" s="25" t="s">
        <v>29</v>
      </c>
      <c r="D55" s="4" t="s">
        <v>10</v>
      </c>
      <c r="E55" s="25" t="s">
        <v>32</v>
      </c>
      <c r="F55" s="5" t="s">
        <v>11</v>
      </c>
      <c r="G55" s="4"/>
    </row>
    <row r="56" spans="1:7" hidden="1" x14ac:dyDescent="0.35">
      <c r="A56" t="s">
        <v>59</v>
      </c>
      <c r="B56" s="1">
        <v>0</v>
      </c>
      <c r="C56" s="1">
        <v>39.5</v>
      </c>
      <c r="D56" s="7">
        <f>+B56/C56</f>
        <v>0</v>
      </c>
      <c r="E56" s="26">
        <v>9</v>
      </c>
      <c r="F56">
        <f>+D56/E56</f>
        <v>0</v>
      </c>
    </row>
    <row r="57" spans="1:7" hidden="1" x14ac:dyDescent="0.35">
      <c r="A57" t="s">
        <v>60</v>
      </c>
      <c r="B57" s="1">
        <v>0</v>
      </c>
      <c r="C57" s="1">
        <v>39.5</v>
      </c>
      <c r="D57" s="7">
        <f t="shared" ref="D57:D58" si="8">+B57/C57</f>
        <v>0</v>
      </c>
      <c r="E57" s="26">
        <v>9</v>
      </c>
      <c r="F57">
        <f t="shared" ref="F57:F58" si="9">+D57/E57</f>
        <v>0</v>
      </c>
    </row>
    <row r="58" spans="1:7" hidden="1" x14ac:dyDescent="0.35">
      <c r="A58" t="s">
        <v>61</v>
      </c>
      <c r="B58" s="1">
        <v>0</v>
      </c>
      <c r="C58" s="1">
        <v>39.5</v>
      </c>
      <c r="D58" s="7">
        <f t="shared" si="8"/>
        <v>0</v>
      </c>
      <c r="E58" s="26">
        <v>9</v>
      </c>
      <c r="F58">
        <f t="shared" si="9"/>
        <v>0</v>
      </c>
    </row>
    <row r="59" spans="1:7" hidden="1" x14ac:dyDescent="0.35">
      <c r="A59" t="s">
        <v>66</v>
      </c>
      <c r="B59" s="1">
        <v>0</v>
      </c>
      <c r="C59" s="1"/>
      <c r="D59" s="7"/>
      <c r="E59" s="26"/>
    </row>
    <row r="60" spans="1:7" hidden="1" x14ac:dyDescent="0.35">
      <c r="A60" t="s">
        <v>69</v>
      </c>
      <c r="B60" s="1">
        <v>0</v>
      </c>
      <c r="C60" s="1"/>
      <c r="D60" s="7"/>
      <c r="E60" s="26"/>
    </row>
    <row r="61" spans="1:7" hidden="1" x14ac:dyDescent="0.35">
      <c r="A61" t="s">
        <v>67</v>
      </c>
      <c r="B61" s="1"/>
      <c r="C61" s="1"/>
      <c r="D61" s="7"/>
      <c r="E61" s="26"/>
    </row>
    <row r="62" spans="1:7" hidden="1" x14ac:dyDescent="0.35">
      <c r="A62" t="s">
        <v>77</v>
      </c>
      <c r="B62" s="1">
        <v>0</v>
      </c>
      <c r="C62" s="1"/>
      <c r="D62" s="7"/>
      <c r="E62" s="26"/>
    </row>
    <row r="63" spans="1:7" hidden="1" x14ac:dyDescent="0.35">
      <c r="A63" t="s">
        <v>87</v>
      </c>
      <c r="B63" s="1">
        <v>0</v>
      </c>
      <c r="C63" s="1"/>
      <c r="D63" s="7"/>
      <c r="E63" s="26"/>
    </row>
    <row r="64" spans="1:7" hidden="1" x14ac:dyDescent="0.35">
      <c r="A64" t="s">
        <v>68</v>
      </c>
      <c r="B64" s="74">
        <f>SUM(B56:B63)</f>
        <v>0</v>
      </c>
      <c r="C64" s="1"/>
      <c r="D64" s="7"/>
      <c r="E64" s="26"/>
    </row>
    <row r="65" spans="1:9" hidden="1" x14ac:dyDescent="0.35">
      <c r="C65" s="1"/>
      <c r="D65" s="7"/>
      <c r="E65" s="26"/>
    </row>
    <row r="66" spans="1:9" hidden="1" x14ac:dyDescent="0.35">
      <c r="C66" s="1"/>
      <c r="D66" s="7"/>
      <c r="E66" s="26"/>
    </row>
    <row r="67" spans="1:9" x14ac:dyDescent="0.35">
      <c r="A67" s="76"/>
      <c r="B67" s="76"/>
      <c r="C67" s="74"/>
      <c r="D67" s="77"/>
      <c r="E67" s="78"/>
      <c r="F67" s="76"/>
      <c r="G67" s="76"/>
    </row>
    <row r="68" spans="1:9" x14ac:dyDescent="0.35">
      <c r="C68" s="1"/>
      <c r="D68" s="7"/>
      <c r="E68" s="26"/>
    </row>
    <row r="69" spans="1:9" x14ac:dyDescent="0.35">
      <c r="C69" s="1"/>
      <c r="D69" s="7"/>
      <c r="E69" s="26"/>
    </row>
    <row r="70" spans="1:9" x14ac:dyDescent="0.35">
      <c r="B70" s="1"/>
      <c r="C70" s="1"/>
      <c r="D70" s="7"/>
      <c r="E70" s="26"/>
    </row>
    <row r="71" spans="1:9" ht="15" thickBot="1" x14ac:dyDescent="0.4"/>
    <row r="72" spans="1:9" ht="15.5" x14ac:dyDescent="0.35">
      <c r="A72" s="93" t="s">
        <v>30</v>
      </c>
      <c r="B72" s="94"/>
      <c r="C72" s="94"/>
      <c r="D72" s="94"/>
      <c r="E72" s="94"/>
      <c r="F72" s="94"/>
      <c r="G72" s="94"/>
      <c r="H72" s="94"/>
      <c r="I72" s="94"/>
    </row>
    <row r="73" spans="1:9" x14ac:dyDescent="0.35">
      <c r="B73" s="27" t="s">
        <v>31</v>
      </c>
    </row>
    <row r="74" spans="1:9" x14ac:dyDescent="0.35">
      <c r="A74" s="13"/>
      <c r="B74" s="14"/>
      <c r="C74" s="14"/>
      <c r="D74" s="25" t="s">
        <v>32</v>
      </c>
      <c r="E74" s="14" t="s">
        <v>12</v>
      </c>
      <c r="F74" s="14" t="s">
        <v>13</v>
      </c>
      <c r="G74" s="14" t="s">
        <v>14</v>
      </c>
      <c r="H74" s="14" t="s">
        <v>35</v>
      </c>
      <c r="I74" s="14"/>
    </row>
    <row r="75" spans="1:9" x14ac:dyDescent="0.35">
      <c r="A75" s="13"/>
      <c r="B75" s="14"/>
      <c r="C75" s="14"/>
      <c r="D75" s="14">
        <v>9</v>
      </c>
      <c r="E75" s="14">
        <f>+B76*B77*D75</f>
        <v>18</v>
      </c>
      <c r="F75" s="1">
        <v>39.5</v>
      </c>
      <c r="G75" s="16">
        <f>+E75*F75</f>
        <v>711</v>
      </c>
      <c r="H75" s="14" t="e">
        <f>+G75/B74</f>
        <v>#DIV/0!</v>
      </c>
      <c r="I75" s="14"/>
    </row>
    <row r="76" spans="1:9" ht="24.5" x14ac:dyDescent="0.7">
      <c r="A76" s="8" t="s">
        <v>33</v>
      </c>
      <c r="B76" s="29">
        <v>1</v>
      </c>
      <c r="C76" s="28" t="s">
        <v>36</v>
      </c>
    </row>
    <row r="77" spans="1:9" ht="24.5" x14ac:dyDescent="0.7">
      <c r="A77" s="8" t="s">
        <v>34</v>
      </c>
      <c r="B77" s="29">
        <v>2</v>
      </c>
      <c r="C77" s="28" t="s">
        <v>37</v>
      </c>
    </row>
    <row r="78" spans="1:9" x14ac:dyDescent="0.35">
      <c r="A78" s="8"/>
    </row>
    <row r="79" spans="1:9" x14ac:dyDescent="0.35">
      <c r="A79" s="8"/>
      <c r="I79" s="9"/>
    </row>
    <row r="80" spans="1:9" ht="15" thickBot="1" x14ac:dyDescent="0.4">
      <c r="A80" s="10"/>
      <c r="B80" s="11"/>
      <c r="C80" s="11"/>
      <c r="D80" s="11"/>
      <c r="E80" s="11"/>
      <c r="F80" s="11"/>
      <c r="G80" s="11"/>
      <c r="H80" s="11"/>
      <c r="I80" s="12"/>
    </row>
    <row r="83" spans="1:4" ht="15.5" x14ac:dyDescent="0.35">
      <c r="A83" s="2"/>
      <c r="C83" s="1"/>
      <c r="D83" s="1"/>
    </row>
    <row r="84" spans="1:4" ht="15.5" x14ac:dyDescent="0.35">
      <c r="A84" s="3" t="s">
        <v>72</v>
      </c>
      <c r="B84" s="4" t="s">
        <v>3</v>
      </c>
      <c r="C84" s="5"/>
      <c r="D84" s="1"/>
    </row>
    <row r="85" spans="1:4" ht="15.5" x14ac:dyDescent="0.35">
      <c r="A85" s="2" t="s">
        <v>63</v>
      </c>
      <c r="C85" s="1">
        <v>12.5</v>
      </c>
      <c r="D85" s="1">
        <f t="shared" ref="D85:D92" si="10">+B85*C85</f>
        <v>0</v>
      </c>
    </row>
    <row r="86" spans="1:4" ht="15.5" x14ac:dyDescent="0.35">
      <c r="A86" s="2"/>
      <c r="C86" s="1"/>
      <c r="D86" s="1"/>
    </row>
    <row r="87" spans="1:4" ht="15.5" x14ac:dyDescent="0.35">
      <c r="A87" s="2"/>
      <c r="C87" s="1"/>
      <c r="D87" s="1"/>
    </row>
    <row r="88" spans="1:4" ht="15.5" x14ac:dyDescent="0.35">
      <c r="A88" s="3" t="s">
        <v>73</v>
      </c>
      <c r="B88" s="4" t="s">
        <v>0</v>
      </c>
      <c r="C88" s="5"/>
      <c r="D88" s="1"/>
    </row>
    <row r="89" spans="1:4" ht="15.5" x14ac:dyDescent="0.35">
      <c r="A89" s="2" t="s">
        <v>54</v>
      </c>
      <c r="C89" s="1">
        <v>0.47</v>
      </c>
      <c r="D89" s="1">
        <f t="shared" si="10"/>
        <v>0</v>
      </c>
    </row>
    <row r="90" spans="1:4" ht="15.5" x14ac:dyDescent="0.35">
      <c r="A90" s="2"/>
      <c r="C90" s="1"/>
      <c r="D90" s="1"/>
    </row>
    <row r="91" spans="1:4" ht="15.5" hidden="1" x14ac:dyDescent="0.35">
      <c r="A91" s="3" t="s">
        <v>2</v>
      </c>
      <c r="B91" s="4" t="s">
        <v>0</v>
      </c>
      <c r="C91" s="5"/>
      <c r="D91" s="1"/>
    </row>
    <row r="92" spans="1:4" ht="15.5" hidden="1" x14ac:dyDescent="0.35">
      <c r="A92" s="2" t="s">
        <v>54</v>
      </c>
      <c r="C92" s="1">
        <v>0.2</v>
      </c>
      <c r="D92" s="1">
        <f t="shared" si="10"/>
        <v>0</v>
      </c>
    </row>
    <row r="93" spans="1:4" ht="15.5" hidden="1" x14ac:dyDescent="0.35">
      <c r="A93" s="2"/>
      <c r="C93" s="1"/>
      <c r="D93" s="1"/>
    </row>
    <row r="94" spans="1:4" ht="15.5" x14ac:dyDescent="0.35">
      <c r="A94" s="2"/>
      <c r="C94" s="1"/>
      <c r="D94" s="1"/>
    </row>
    <row r="95" spans="1:4" ht="15.5" x14ac:dyDescent="0.35">
      <c r="A95" s="3" t="s">
        <v>95</v>
      </c>
      <c r="B95" s="4" t="s">
        <v>0</v>
      </c>
      <c r="C95" s="5"/>
      <c r="D95" s="1"/>
    </row>
    <row r="96" spans="1:4" ht="15.5" x14ac:dyDescent="0.35">
      <c r="A96" s="2" t="s">
        <v>54</v>
      </c>
      <c r="C96" s="1">
        <v>0.13</v>
      </c>
      <c r="D96" s="1">
        <f t="shared" ref="D96" si="11">+B96*C96</f>
        <v>0</v>
      </c>
    </row>
    <row r="97" spans="1:6" ht="15.5" x14ac:dyDescent="0.35">
      <c r="A97" s="2"/>
      <c r="C97" s="1"/>
      <c r="D97" s="1"/>
    </row>
    <row r="98" spans="1:6" ht="15.5" x14ac:dyDescent="0.35">
      <c r="A98" s="3" t="s">
        <v>96</v>
      </c>
      <c r="B98" s="4" t="s">
        <v>0</v>
      </c>
      <c r="C98" s="5"/>
      <c r="D98" s="1"/>
    </row>
    <row r="99" spans="1:6" ht="15.5" x14ac:dyDescent="0.35">
      <c r="A99" s="2" t="s">
        <v>54</v>
      </c>
      <c r="C99" s="1">
        <v>0.27</v>
      </c>
      <c r="D99" s="1">
        <f t="shared" ref="D99" si="12">+B99*C99</f>
        <v>0</v>
      </c>
    </row>
    <row r="100" spans="1:6" ht="15.5" x14ac:dyDescent="0.35">
      <c r="A100" s="2"/>
      <c r="C100" s="1"/>
      <c r="D100" s="1"/>
    </row>
    <row r="102" spans="1:6" ht="15.5" x14ac:dyDescent="0.35">
      <c r="A102" s="3" t="s">
        <v>4</v>
      </c>
      <c r="B102" s="4" t="s">
        <v>5</v>
      </c>
      <c r="C102" s="4" t="s">
        <v>6</v>
      </c>
      <c r="D102" s="4" t="s">
        <v>7</v>
      </c>
      <c r="E102" s="4" t="s">
        <v>8</v>
      </c>
      <c r="F102" s="5" t="s">
        <v>1</v>
      </c>
    </row>
    <row r="103" spans="1:6" hidden="1" x14ac:dyDescent="0.35">
      <c r="A103" t="s">
        <v>64</v>
      </c>
      <c r="D103">
        <v>15</v>
      </c>
      <c r="F103" s="1">
        <f>+B103*C103*D103*E103</f>
        <v>0</v>
      </c>
    </row>
    <row r="104" spans="1:6" hidden="1" x14ac:dyDescent="0.35">
      <c r="A104" t="s">
        <v>65</v>
      </c>
      <c r="D104">
        <v>115</v>
      </c>
      <c r="F104" s="1">
        <f t="shared" ref="F104:F105" si="13">+B104*C104*D104*E104</f>
        <v>0</v>
      </c>
    </row>
    <row r="105" spans="1:6" x14ac:dyDescent="0.35">
      <c r="A105" t="s">
        <v>77</v>
      </c>
      <c r="D105">
        <v>30</v>
      </c>
      <c r="F105" s="1">
        <f t="shared" si="13"/>
        <v>0</v>
      </c>
    </row>
  </sheetData>
  <mergeCells count="1">
    <mergeCell ref="A72:I7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F5D2-D971-4B40-A720-46CDE94ADD94}">
  <dimension ref="A1:R105"/>
  <sheetViews>
    <sheetView workbookViewId="0">
      <selection activeCell="H98" sqref="H98"/>
    </sheetView>
  </sheetViews>
  <sheetFormatPr defaultRowHeight="14.5" x14ac:dyDescent="0.35"/>
  <cols>
    <col min="1" max="1" width="51.54296875" customWidth="1"/>
    <col min="2" max="2" width="15.08984375" customWidth="1"/>
    <col min="3" max="3" width="15.6328125" customWidth="1"/>
    <col min="4" max="4" width="18" customWidth="1"/>
    <col min="5" max="5" width="17.26953125" customWidth="1"/>
    <col min="6" max="6" width="10.54296875" customWidth="1"/>
    <col min="7" max="7" width="12.453125" customWidth="1"/>
    <col min="8" max="8" width="14.54296875" customWidth="1"/>
    <col min="9" max="9" width="16.08984375" customWidth="1"/>
    <col min="10" max="10" width="14.08984375" customWidth="1"/>
    <col min="11" max="11" width="15.90625" customWidth="1"/>
    <col min="13" max="13" width="13.08984375" customWidth="1"/>
    <col min="14" max="14" width="16.7265625" customWidth="1"/>
    <col min="15" max="15" width="13.54296875" customWidth="1"/>
    <col min="16" max="16" width="14.81640625" customWidth="1"/>
    <col min="17" max="17" width="6.81640625" customWidth="1"/>
    <col min="18" max="18" width="4.90625" customWidth="1"/>
  </cols>
  <sheetData>
    <row r="1" spans="1:18" ht="15.5" x14ac:dyDescent="0.35">
      <c r="A1" s="6"/>
      <c r="C1" s="1"/>
      <c r="D1" s="1"/>
      <c r="N1" s="90" t="s">
        <v>79</v>
      </c>
      <c r="O1" s="90" t="s">
        <v>103</v>
      </c>
      <c r="P1" s="76"/>
      <c r="Q1" s="76"/>
      <c r="R1" s="76"/>
    </row>
    <row r="2" spans="1:18" ht="15.5" x14ac:dyDescent="0.35">
      <c r="A2" s="3" t="s">
        <v>78</v>
      </c>
      <c r="C2" s="1"/>
      <c r="D2" s="1"/>
      <c r="N2" s="76"/>
      <c r="O2" s="76"/>
      <c r="P2" s="76"/>
      <c r="Q2" s="76"/>
      <c r="R2" s="76"/>
    </row>
    <row r="3" spans="1:18" ht="15.5" x14ac:dyDescent="0.35">
      <c r="A3" s="2"/>
      <c r="C3" s="1"/>
      <c r="D3" s="1"/>
      <c r="N3" s="90"/>
      <c r="O3" s="76" t="s">
        <v>104</v>
      </c>
      <c r="P3" s="76" t="s">
        <v>105</v>
      </c>
      <c r="Q3" s="76"/>
      <c r="R3" s="76"/>
    </row>
    <row r="4" spans="1:18" ht="15.5" x14ac:dyDescent="0.35">
      <c r="A4" s="3" t="s">
        <v>27</v>
      </c>
      <c r="B4" s="27" t="s">
        <v>31</v>
      </c>
      <c r="C4" s="5" t="s">
        <v>28</v>
      </c>
      <c r="D4" s="24" t="s">
        <v>9</v>
      </c>
      <c r="N4" s="82" t="s">
        <v>80</v>
      </c>
      <c r="O4" s="82" t="s">
        <v>81</v>
      </c>
      <c r="P4" s="82" t="s">
        <v>82</v>
      </c>
      <c r="Q4" s="82"/>
      <c r="R4" s="82"/>
    </row>
    <row r="5" spans="1:18" ht="15.5" x14ac:dyDescent="0.35">
      <c r="A5" s="2"/>
      <c r="C5" s="1">
        <v>0.59</v>
      </c>
      <c r="D5" s="1">
        <f>+B5*C5</f>
        <v>0</v>
      </c>
      <c r="N5" s="74">
        <v>58.21</v>
      </c>
      <c r="O5" s="74">
        <v>73.05</v>
      </c>
      <c r="P5" s="74">
        <v>104.36</v>
      </c>
      <c r="Q5" s="76"/>
      <c r="R5" s="76"/>
    </row>
    <row r="6" spans="1:18" ht="15.5" x14ac:dyDescent="0.35">
      <c r="A6" s="2"/>
      <c r="C6" s="1"/>
      <c r="D6" s="1"/>
    </row>
    <row r="7" spans="1:18" x14ac:dyDescent="0.35">
      <c r="N7" s="90" t="s">
        <v>79</v>
      </c>
      <c r="O7" s="90" t="s">
        <v>106</v>
      </c>
      <c r="P7" s="76"/>
      <c r="Q7" s="76"/>
      <c r="R7" s="76"/>
    </row>
    <row r="8" spans="1:18" x14ac:dyDescent="0.35">
      <c r="N8" s="76"/>
      <c r="O8" s="76"/>
      <c r="P8" s="76"/>
      <c r="Q8" s="76"/>
      <c r="R8" s="76"/>
    </row>
    <row r="9" spans="1:18" ht="15.5" x14ac:dyDescent="0.35">
      <c r="A9" s="3" t="s">
        <v>70</v>
      </c>
      <c r="B9" s="24" t="s">
        <v>62</v>
      </c>
      <c r="C9" s="25" t="s">
        <v>29</v>
      </c>
      <c r="D9" s="4" t="s">
        <v>10</v>
      </c>
      <c r="E9" s="25" t="s">
        <v>32</v>
      </c>
      <c r="F9" s="5" t="s">
        <v>11</v>
      </c>
      <c r="G9" s="4"/>
      <c r="N9" s="90"/>
      <c r="O9" s="76" t="s">
        <v>97</v>
      </c>
      <c r="P9" s="76" t="s">
        <v>98</v>
      </c>
      <c r="Q9" s="76"/>
      <c r="R9" s="76"/>
    </row>
    <row r="10" spans="1:18" x14ac:dyDescent="0.35">
      <c r="A10" t="s">
        <v>59</v>
      </c>
      <c r="B10" s="1">
        <v>0</v>
      </c>
      <c r="C10" s="1">
        <v>104.5</v>
      </c>
      <c r="D10" s="7">
        <f>+B10/C10</f>
        <v>0</v>
      </c>
      <c r="E10" s="26">
        <v>9</v>
      </c>
      <c r="F10">
        <f>+D10/E10</f>
        <v>0</v>
      </c>
      <c r="N10" s="82" t="s">
        <v>80</v>
      </c>
      <c r="O10" s="82" t="s">
        <v>81</v>
      </c>
      <c r="P10" s="82" t="s">
        <v>82</v>
      </c>
      <c r="Q10" s="82"/>
      <c r="R10" s="82"/>
    </row>
    <row r="11" spans="1:18" x14ac:dyDescent="0.35">
      <c r="A11" t="s">
        <v>60</v>
      </c>
      <c r="B11" s="1">
        <v>0</v>
      </c>
      <c r="C11" s="1">
        <v>104.5</v>
      </c>
      <c r="D11" s="7">
        <f t="shared" ref="D11:D12" si="0">+B11/C11</f>
        <v>0</v>
      </c>
      <c r="E11" s="26">
        <v>9</v>
      </c>
      <c r="F11">
        <f t="shared" ref="F11:F12" si="1">+D11/E11</f>
        <v>0</v>
      </c>
      <c r="N11" s="74">
        <v>48.19</v>
      </c>
      <c r="O11" s="74">
        <v>60.47</v>
      </c>
      <c r="P11" s="74">
        <v>86.39</v>
      </c>
      <c r="Q11" s="76"/>
      <c r="R11" s="76"/>
    </row>
    <row r="12" spans="1:18" x14ac:dyDescent="0.35">
      <c r="A12" t="s">
        <v>61</v>
      </c>
      <c r="B12" s="1">
        <v>0</v>
      </c>
      <c r="C12" s="1">
        <v>104.5</v>
      </c>
      <c r="D12" s="7">
        <f t="shared" si="0"/>
        <v>0</v>
      </c>
      <c r="E12" s="26">
        <v>9</v>
      </c>
      <c r="F12">
        <f t="shared" si="1"/>
        <v>0</v>
      </c>
      <c r="H12" s="24" t="s">
        <v>55</v>
      </c>
      <c r="I12" s="24"/>
      <c r="J12" s="24"/>
      <c r="K12" s="24"/>
      <c r="N12" s="84"/>
      <c r="O12" s="84"/>
      <c r="P12" s="84"/>
      <c r="Q12" s="84"/>
      <c r="R12" s="84"/>
    </row>
    <row r="13" spans="1:18" x14ac:dyDescent="0.35">
      <c r="A13" t="s">
        <v>66</v>
      </c>
      <c r="B13" s="1">
        <v>0</v>
      </c>
      <c r="C13" s="1"/>
      <c r="D13" s="7"/>
      <c r="E13" s="26"/>
      <c r="H13" s="24"/>
      <c r="I13" s="24"/>
      <c r="J13" s="24"/>
      <c r="K13" s="24"/>
      <c r="N13" s="76" t="s">
        <v>83</v>
      </c>
      <c r="O13" s="76"/>
      <c r="P13" s="76"/>
      <c r="Q13" s="76"/>
      <c r="R13" s="76"/>
    </row>
    <row r="14" spans="1:18" x14ac:dyDescent="0.35">
      <c r="A14" t="s">
        <v>69</v>
      </c>
      <c r="B14" s="1">
        <v>0</v>
      </c>
      <c r="C14" s="1"/>
      <c r="D14" s="7"/>
      <c r="E14" s="26"/>
      <c r="H14" s="24"/>
      <c r="I14" s="24"/>
      <c r="J14" s="24"/>
      <c r="K14" s="24"/>
      <c r="N14" s="76" t="s">
        <v>107</v>
      </c>
      <c r="O14" s="76" t="s">
        <v>84</v>
      </c>
      <c r="P14" s="76" t="s">
        <v>85</v>
      </c>
      <c r="Q14" s="76"/>
      <c r="R14" s="76"/>
    </row>
    <row r="15" spans="1:18" hidden="1" x14ac:dyDescent="0.35">
      <c r="A15" t="s">
        <v>67</v>
      </c>
      <c r="B15" s="1"/>
      <c r="C15" s="1"/>
      <c r="D15" s="7"/>
      <c r="E15" s="26"/>
      <c r="H15" s="76"/>
      <c r="I15" s="76"/>
      <c r="J15" s="76"/>
      <c r="K15" s="76"/>
      <c r="N15" s="82" t="s">
        <v>80</v>
      </c>
      <c r="O15" s="82" t="s">
        <v>81</v>
      </c>
      <c r="P15" s="82" t="s">
        <v>82</v>
      </c>
      <c r="Q15" s="82"/>
      <c r="R15" s="82"/>
    </row>
    <row r="16" spans="1:18" x14ac:dyDescent="0.35">
      <c r="A16" t="s">
        <v>77</v>
      </c>
      <c r="B16" s="1">
        <v>0</v>
      </c>
      <c r="C16" s="1"/>
      <c r="D16" s="7"/>
      <c r="E16" s="26"/>
      <c r="H16" s="76" t="s">
        <v>58</v>
      </c>
      <c r="I16" s="76"/>
      <c r="J16" s="76"/>
      <c r="K16" s="76"/>
      <c r="N16" s="74">
        <v>52.06</v>
      </c>
      <c r="O16" s="74">
        <v>65.33</v>
      </c>
      <c r="P16" s="74">
        <v>93.33</v>
      </c>
      <c r="Q16" s="76"/>
      <c r="R16" s="76"/>
    </row>
    <row r="17" spans="1:11" x14ac:dyDescent="0.35">
      <c r="A17" t="s">
        <v>87</v>
      </c>
      <c r="B17" s="1">
        <v>0</v>
      </c>
      <c r="C17" s="1"/>
      <c r="D17" s="7"/>
      <c r="E17" s="26"/>
      <c r="H17" s="76"/>
      <c r="I17" s="76"/>
      <c r="J17" s="76"/>
      <c r="K17" s="76"/>
    </row>
    <row r="18" spans="1:11" x14ac:dyDescent="0.35">
      <c r="A18" t="s">
        <v>68</v>
      </c>
      <c r="B18" s="74">
        <f>SUM(B10:B17)</f>
        <v>0</v>
      </c>
      <c r="C18" s="1"/>
      <c r="D18" s="7"/>
      <c r="E18" s="26"/>
      <c r="H18" s="76"/>
      <c r="I18" s="76"/>
      <c r="J18" s="76"/>
      <c r="K18" s="76"/>
    </row>
    <row r="19" spans="1:11" x14ac:dyDescent="0.35">
      <c r="C19" s="1"/>
      <c r="D19" s="7"/>
      <c r="E19" s="26"/>
      <c r="H19" s="76"/>
      <c r="I19" s="76"/>
      <c r="J19" s="76"/>
      <c r="K19" s="76"/>
    </row>
    <row r="20" spans="1:11" x14ac:dyDescent="0.35">
      <c r="A20" s="76" t="s">
        <v>71</v>
      </c>
      <c r="B20" s="76"/>
      <c r="C20" s="74"/>
      <c r="D20" s="77"/>
      <c r="E20" s="78"/>
      <c r="F20" s="76"/>
      <c r="G20" s="76"/>
    </row>
    <row r="21" spans="1:11" hidden="1" x14ac:dyDescent="0.35">
      <c r="C21" s="1"/>
      <c r="D21" s="7"/>
      <c r="E21" s="26"/>
    </row>
    <row r="22" spans="1:11" ht="15.5" hidden="1" x14ac:dyDescent="0.35">
      <c r="A22" s="3" t="s">
        <v>70</v>
      </c>
      <c r="B22" s="24" t="s">
        <v>62</v>
      </c>
      <c r="C22" s="25" t="s">
        <v>29</v>
      </c>
      <c r="D22" s="4" t="s">
        <v>10</v>
      </c>
      <c r="E22" s="25" t="s">
        <v>32</v>
      </c>
      <c r="F22" s="5" t="s">
        <v>11</v>
      </c>
      <c r="G22" s="4"/>
    </row>
    <row r="23" spans="1:11" hidden="1" x14ac:dyDescent="0.35">
      <c r="A23" t="s">
        <v>59</v>
      </c>
      <c r="B23" s="1">
        <v>0</v>
      </c>
      <c r="C23" s="1">
        <v>104.5</v>
      </c>
      <c r="D23" s="7">
        <f>+B23/C23</f>
        <v>0</v>
      </c>
      <c r="E23" s="26">
        <v>9</v>
      </c>
      <c r="F23">
        <f>+D23/E23</f>
        <v>0</v>
      </c>
    </row>
    <row r="24" spans="1:11" hidden="1" x14ac:dyDescent="0.35">
      <c r="A24" t="s">
        <v>60</v>
      </c>
      <c r="B24" s="1">
        <v>0</v>
      </c>
      <c r="C24" s="1">
        <v>104.5</v>
      </c>
      <c r="D24" s="7">
        <f t="shared" ref="D24:D25" si="2">+B24/C24</f>
        <v>0</v>
      </c>
      <c r="E24" s="26">
        <v>9</v>
      </c>
      <c r="F24">
        <f t="shared" ref="F24:F25" si="3">+D24/E24</f>
        <v>0</v>
      </c>
    </row>
    <row r="25" spans="1:11" hidden="1" x14ac:dyDescent="0.35">
      <c r="A25" t="s">
        <v>61</v>
      </c>
      <c r="B25" s="1">
        <v>0</v>
      </c>
      <c r="C25" s="1">
        <v>104.5</v>
      </c>
      <c r="D25" s="7">
        <f t="shared" si="2"/>
        <v>0</v>
      </c>
      <c r="E25" s="26">
        <v>9</v>
      </c>
      <c r="F25">
        <f t="shared" si="3"/>
        <v>0</v>
      </c>
    </row>
    <row r="26" spans="1:11" hidden="1" x14ac:dyDescent="0.35">
      <c r="A26" t="s">
        <v>66</v>
      </c>
      <c r="B26" s="1">
        <v>0</v>
      </c>
      <c r="C26" s="1"/>
      <c r="D26" s="7"/>
      <c r="E26" s="26"/>
    </row>
    <row r="27" spans="1:11" hidden="1" x14ac:dyDescent="0.35">
      <c r="A27" t="s">
        <v>69</v>
      </c>
      <c r="B27" s="1">
        <v>0</v>
      </c>
      <c r="C27" s="1"/>
      <c r="D27" s="7"/>
      <c r="E27" s="26"/>
    </row>
    <row r="28" spans="1:11" hidden="1" x14ac:dyDescent="0.35">
      <c r="A28" t="s">
        <v>67</v>
      </c>
      <c r="B28" s="1"/>
      <c r="C28" s="1"/>
      <c r="D28" s="7"/>
      <c r="E28" s="26"/>
    </row>
    <row r="29" spans="1:11" hidden="1" x14ac:dyDescent="0.35">
      <c r="A29" t="s">
        <v>77</v>
      </c>
      <c r="B29" s="1">
        <v>0</v>
      </c>
      <c r="C29" s="1"/>
      <c r="D29" s="7"/>
      <c r="E29" s="26"/>
    </row>
    <row r="30" spans="1:11" hidden="1" x14ac:dyDescent="0.35">
      <c r="A30" t="s">
        <v>87</v>
      </c>
      <c r="B30" s="1">
        <v>0</v>
      </c>
      <c r="C30" s="1"/>
      <c r="D30" s="7"/>
      <c r="E30" s="26"/>
    </row>
    <row r="31" spans="1:11" hidden="1" x14ac:dyDescent="0.35">
      <c r="A31" t="s">
        <v>68</v>
      </c>
      <c r="B31" s="74">
        <f>SUM(B23:B30)</f>
        <v>0</v>
      </c>
      <c r="C31" s="1"/>
      <c r="D31" s="7"/>
      <c r="E31" s="26"/>
    </row>
    <row r="32" spans="1:11" hidden="1" x14ac:dyDescent="0.35">
      <c r="C32" s="1"/>
      <c r="D32" s="7"/>
      <c r="E32" s="26"/>
    </row>
    <row r="33" spans="1:7" ht="15.5" hidden="1" x14ac:dyDescent="0.35">
      <c r="A33" s="3" t="s">
        <v>70</v>
      </c>
      <c r="B33" s="24" t="s">
        <v>62</v>
      </c>
      <c r="C33" s="25" t="s">
        <v>29</v>
      </c>
      <c r="D33" s="4" t="s">
        <v>10</v>
      </c>
      <c r="E33" s="25" t="s">
        <v>32</v>
      </c>
      <c r="F33" s="5" t="s">
        <v>11</v>
      </c>
      <c r="G33" s="4"/>
    </row>
    <row r="34" spans="1:7" hidden="1" x14ac:dyDescent="0.35">
      <c r="A34" t="s">
        <v>59</v>
      </c>
      <c r="B34" s="1">
        <v>0</v>
      </c>
      <c r="C34" s="1">
        <v>104.5</v>
      </c>
      <c r="D34" s="7">
        <f>+B34/C34</f>
        <v>0</v>
      </c>
      <c r="E34" s="26">
        <v>9</v>
      </c>
      <c r="F34">
        <f>+D34/E34</f>
        <v>0</v>
      </c>
    </row>
    <row r="35" spans="1:7" hidden="1" x14ac:dyDescent="0.35">
      <c r="A35" t="s">
        <v>60</v>
      </c>
      <c r="B35" s="1">
        <v>0</v>
      </c>
      <c r="C35" s="1">
        <v>104.5</v>
      </c>
      <c r="D35" s="7">
        <f t="shared" ref="D35:D36" si="4">+B35/C35</f>
        <v>0</v>
      </c>
      <c r="E35" s="26">
        <v>9</v>
      </c>
      <c r="F35">
        <f t="shared" ref="F35:F36" si="5">+D35/E35</f>
        <v>0</v>
      </c>
    </row>
    <row r="36" spans="1:7" hidden="1" x14ac:dyDescent="0.35">
      <c r="A36" t="s">
        <v>61</v>
      </c>
      <c r="B36" s="1">
        <v>0</v>
      </c>
      <c r="C36" s="1">
        <v>104.5</v>
      </c>
      <c r="D36" s="7">
        <f t="shared" si="4"/>
        <v>0</v>
      </c>
      <c r="E36" s="26">
        <v>9</v>
      </c>
      <c r="F36">
        <f t="shared" si="5"/>
        <v>0</v>
      </c>
    </row>
    <row r="37" spans="1:7" hidden="1" x14ac:dyDescent="0.35">
      <c r="A37" t="s">
        <v>66</v>
      </c>
      <c r="B37" s="1">
        <v>0</v>
      </c>
      <c r="C37" s="1"/>
      <c r="D37" s="7"/>
      <c r="E37" s="26"/>
    </row>
    <row r="38" spans="1:7" hidden="1" x14ac:dyDescent="0.35">
      <c r="A38" t="s">
        <v>69</v>
      </c>
      <c r="B38" s="1">
        <v>0</v>
      </c>
      <c r="C38" s="1"/>
      <c r="D38" s="7"/>
      <c r="E38" s="26"/>
    </row>
    <row r="39" spans="1:7" hidden="1" x14ac:dyDescent="0.35">
      <c r="A39" t="s">
        <v>67</v>
      </c>
      <c r="B39" s="1"/>
      <c r="C39" s="1"/>
      <c r="D39" s="7"/>
      <c r="E39" s="26"/>
    </row>
    <row r="40" spans="1:7" hidden="1" x14ac:dyDescent="0.35">
      <c r="A40" t="s">
        <v>77</v>
      </c>
      <c r="B40" s="1">
        <v>0</v>
      </c>
      <c r="C40" s="1"/>
      <c r="D40" s="7"/>
      <c r="E40" s="26"/>
    </row>
    <row r="41" spans="1:7" hidden="1" x14ac:dyDescent="0.35">
      <c r="A41" t="s">
        <v>87</v>
      </c>
      <c r="B41" s="1">
        <v>0</v>
      </c>
      <c r="C41" s="1"/>
      <c r="D41" s="7"/>
      <c r="E41" s="26"/>
    </row>
    <row r="42" spans="1:7" hidden="1" x14ac:dyDescent="0.35">
      <c r="A42" t="s">
        <v>68</v>
      </c>
      <c r="B42" s="74">
        <f>SUM(B34:B41)</f>
        <v>0</v>
      </c>
      <c r="C42" s="1"/>
      <c r="D42" s="7"/>
      <c r="E42" s="26"/>
    </row>
    <row r="43" spans="1:7" hidden="1" x14ac:dyDescent="0.35">
      <c r="C43" s="1"/>
      <c r="D43" s="7"/>
      <c r="E43" s="26"/>
    </row>
    <row r="44" spans="1:7" ht="15.5" hidden="1" x14ac:dyDescent="0.35">
      <c r="A44" s="3" t="s">
        <v>70</v>
      </c>
      <c r="B44" s="24" t="s">
        <v>62</v>
      </c>
      <c r="C44" s="25" t="s">
        <v>29</v>
      </c>
      <c r="D44" s="4" t="s">
        <v>10</v>
      </c>
      <c r="E44" s="25" t="s">
        <v>32</v>
      </c>
      <c r="F44" s="5" t="s">
        <v>11</v>
      </c>
      <c r="G44" s="4"/>
    </row>
    <row r="45" spans="1:7" hidden="1" x14ac:dyDescent="0.35">
      <c r="A45" t="s">
        <v>59</v>
      </c>
      <c r="B45" s="1">
        <v>0</v>
      </c>
      <c r="C45" s="1">
        <v>104.5</v>
      </c>
      <c r="D45" s="7">
        <f>+B45/C45</f>
        <v>0</v>
      </c>
      <c r="E45" s="26">
        <v>9</v>
      </c>
      <c r="F45">
        <f>+D45/E45</f>
        <v>0</v>
      </c>
    </row>
    <row r="46" spans="1:7" hidden="1" x14ac:dyDescent="0.35">
      <c r="A46" t="s">
        <v>60</v>
      </c>
      <c r="B46" s="1">
        <v>0</v>
      </c>
      <c r="C46" s="1">
        <v>104.5</v>
      </c>
      <c r="D46" s="7">
        <f t="shared" ref="D46:D47" si="6">+B46/C46</f>
        <v>0</v>
      </c>
      <c r="E46" s="26">
        <v>9</v>
      </c>
      <c r="F46">
        <f t="shared" ref="F46:F47" si="7">+D46/E46</f>
        <v>0</v>
      </c>
    </row>
    <row r="47" spans="1:7" hidden="1" x14ac:dyDescent="0.35">
      <c r="A47" t="s">
        <v>61</v>
      </c>
      <c r="B47" s="1">
        <v>0</v>
      </c>
      <c r="C47" s="1">
        <v>104.5</v>
      </c>
      <c r="D47" s="7">
        <f t="shared" si="6"/>
        <v>0</v>
      </c>
      <c r="E47" s="26">
        <v>9</v>
      </c>
      <c r="F47">
        <f t="shared" si="7"/>
        <v>0</v>
      </c>
    </row>
    <row r="48" spans="1:7" hidden="1" x14ac:dyDescent="0.35">
      <c r="A48" t="s">
        <v>66</v>
      </c>
      <c r="B48" s="1">
        <v>0</v>
      </c>
      <c r="C48" s="1"/>
      <c r="D48" s="7"/>
      <c r="E48" s="26"/>
    </row>
    <row r="49" spans="1:7" hidden="1" x14ac:dyDescent="0.35">
      <c r="A49" t="s">
        <v>69</v>
      </c>
      <c r="B49" s="1">
        <v>0</v>
      </c>
      <c r="C49" s="1"/>
      <c r="D49" s="7"/>
      <c r="E49" s="26"/>
    </row>
    <row r="50" spans="1:7" hidden="1" x14ac:dyDescent="0.35">
      <c r="A50" t="s">
        <v>67</v>
      </c>
      <c r="B50" s="1"/>
      <c r="C50" s="1"/>
      <c r="D50" s="7"/>
      <c r="E50" s="26"/>
    </row>
    <row r="51" spans="1:7" hidden="1" x14ac:dyDescent="0.35">
      <c r="A51" t="s">
        <v>77</v>
      </c>
      <c r="B51" s="1">
        <v>0</v>
      </c>
      <c r="C51" s="1"/>
      <c r="D51" s="7"/>
      <c r="E51" s="26"/>
    </row>
    <row r="52" spans="1:7" hidden="1" x14ac:dyDescent="0.35">
      <c r="A52" t="s">
        <v>87</v>
      </c>
      <c r="B52" s="1">
        <v>0</v>
      </c>
      <c r="C52" s="1"/>
      <c r="D52" s="7"/>
      <c r="E52" s="26"/>
    </row>
    <row r="53" spans="1:7" hidden="1" x14ac:dyDescent="0.35">
      <c r="A53" t="s">
        <v>68</v>
      </c>
      <c r="B53" s="74">
        <f>SUM(B45:B52)</f>
        <v>0</v>
      </c>
      <c r="C53" s="1"/>
      <c r="D53" s="7"/>
      <c r="E53" s="26"/>
    </row>
    <row r="54" spans="1:7" hidden="1" x14ac:dyDescent="0.35">
      <c r="C54" s="1"/>
      <c r="D54" s="7"/>
      <c r="E54" s="26"/>
    </row>
    <row r="55" spans="1:7" ht="15.5" hidden="1" x14ac:dyDescent="0.35">
      <c r="A55" s="3" t="s">
        <v>70</v>
      </c>
      <c r="B55" s="24" t="s">
        <v>62</v>
      </c>
      <c r="C55" s="25" t="s">
        <v>29</v>
      </c>
      <c r="D55" s="4" t="s">
        <v>10</v>
      </c>
      <c r="E55" s="25" t="s">
        <v>32</v>
      </c>
      <c r="F55" s="5" t="s">
        <v>11</v>
      </c>
      <c r="G55" s="4"/>
    </row>
    <row r="56" spans="1:7" hidden="1" x14ac:dyDescent="0.35">
      <c r="A56" t="s">
        <v>59</v>
      </c>
      <c r="B56" s="1">
        <v>0</v>
      </c>
      <c r="C56" s="1">
        <v>104.5</v>
      </c>
      <c r="D56" s="7">
        <f>+B56/C56</f>
        <v>0</v>
      </c>
      <c r="E56" s="26">
        <v>9</v>
      </c>
      <c r="F56">
        <f>+D56/E56</f>
        <v>0</v>
      </c>
    </row>
    <row r="57" spans="1:7" hidden="1" x14ac:dyDescent="0.35">
      <c r="A57" t="s">
        <v>60</v>
      </c>
      <c r="B57" s="1">
        <v>0</v>
      </c>
      <c r="C57" s="1">
        <v>104.5</v>
      </c>
      <c r="D57" s="7">
        <f t="shared" ref="D57:D58" si="8">+B57/C57</f>
        <v>0</v>
      </c>
      <c r="E57" s="26">
        <v>9</v>
      </c>
      <c r="F57">
        <f t="shared" ref="F57:F58" si="9">+D57/E57</f>
        <v>0</v>
      </c>
    </row>
    <row r="58" spans="1:7" hidden="1" x14ac:dyDescent="0.35">
      <c r="A58" t="s">
        <v>61</v>
      </c>
      <c r="B58" s="1">
        <v>0</v>
      </c>
      <c r="C58" s="1">
        <v>104.5</v>
      </c>
      <c r="D58" s="7">
        <f t="shared" si="8"/>
        <v>0</v>
      </c>
      <c r="E58" s="26">
        <v>9</v>
      </c>
      <c r="F58">
        <f t="shared" si="9"/>
        <v>0</v>
      </c>
    </row>
    <row r="59" spans="1:7" hidden="1" x14ac:dyDescent="0.35">
      <c r="A59" t="s">
        <v>66</v>
      </c>
      <c r="B59" s="1">
        <v>0</v>
      </c>
      <c r="C59" s="1"/>
      <c r="D59" s="7"/>
      <c r="E59" s="26"/>
    </row>
    <row r="60" spans="1:7" hidden="1" x14ac:dyDescent="0.35">
      <c r="A60" t="s">
        <v>69</v>
      </c>
      <c r="B60" s="1">
        <v>0</v>
      </c>
      <c r="C60" s="1"/>
      <c r="D60" s="7"/>
      <c r="E60" s="26"/>
    </row>
    <row r="61" spans="1:7" hidden="1" x14ac:dyDescent="0.35">
      <c r="A61" t="s">
        <v>67</v>
      </c>
      <c r="B61" s="1"/>
      <c r="C61" s="1"/>
      <c r="D61" s="7"/>
      <c r="E61" s="26"/>
    </row>
    <row r="62" spans="1:7" hidden="1" x14ac:dyDescent="0.35">
      <c r="A62" t="s">
        <v>77</v>
      </c>
      <c r="B62" s="1">
        <v>0</v>
      </c>
      <c r="C62" s="1"/>
      <c r="D62" s="7"/>
      <c r="E62" s="26"/>
    </row>
    <row r="63" spans="1:7" hidden="1" x14ac:dyDescent="0.35">
      <c r="A63" t="s">
        <v>87</v>
      </c>
      <c r="B63" s="1">
        <v>0</v>
      </c>
      <c r="C63" s="1"/>
      <c r="D63" s="7"/>
      <c r="E63" s="26"/>
    </row>
    <row r="64" spans="1:7" hidden="1" x14ac:dyDescent="0.35">
      <c r="A64" t="s">
        <v>68</v>
      </c>
      <c r="B64" s="74">
        <f>SUM(B56:B63)</f>
        <v>0</v>
      </c>
      <c r="C64" s="1"/>
      <c r="D64" s="7"/>
      <c r="E64" s="26"/>
    </row>
    <row r="65" spans="1:9" hidden="1" x14ac:dyDescent="0.35">
      <c r="C65" s="1"/>
      <c r="D65" s="7"/>
      <c r="E65" s="26"/>
    </row>
    <row r="66" spans="1:9" hidden="1" x14ac:dyDescent="0.35">
      <c r="C66" s="1"/>
      <c r="D66" s="7"/>
      <c r="E66" s="26"/>
    </row>
    <row r="67" spans="1:9" x14ac:dyDescent="0.35">
      <c r="A67" s="76"/>
      <c r="B67" s="76"/>
      <c r="C67" s="74"/>
      <c r="D67" s="77"/>
      <c r="E67" s="78"/>
      <c r="F67" s="76"/>
      <c r="G67" s="76"/>
    </row>
    <row r="68" spans="1:9" x14ac:dyDescent="0.35">
      <c r="C68" s="1"/>
      <c r="D68" s="7"/>
      <c r="E68" s="26"/>
    </row>
    <row r="69" spans="1:9" x14ac:dyDescent="0.35">
      <c r="C69" s="1"/>
      <c r="D69" s="7"/>
      <c r="E69" s="26"/>
    </row>
    <row r="70" spans="1:9" x14ac:dyDescent="0.35">
      <c r="B70" s="1"/>
      <c r="C70" s="1"/>
      <c r="D70" s="7"/>
      <c r="E70" s="26"/>
    </row>
    <row r="71" spans="1:9" ht="15" thickBot="1" x14ac:dyDescent="0.4"/>
    <row r="72" spans="1:9" ht="15.5" x14ac:dyDescent="0.35">
      <c r="A72" s="93" t="s">
        <v>30</v>
      </c>
      <c r="B72" s="94"/>
      <c r="C72" s="94"/>
      <c r="D72" s="94"/>
      <c r="E72" s="94"/>
      <c r="F72" s="94"/>
      <c r="G72" s="94"/>
      <c r="H72" s="94"/>
      <c r="I72" s="95"/>
    </row>
    <row r="73" spans="1:9" x14ac:dyDescent="0.35">
      <c r="B73" s="27" t="s">
        <v>31</v>
      </c>
    </row>
    <row r="74" spans="1:9" x14ac:dyDescent="0.35">
      <c r="A74" s="13"/>
      <c r="B74" s="14"/>
      <c r="C74" s="14"/>
      <c r="D74" s="25" t="s">
        <v>32</v>
      </c>
      <c r="E74" s="14" t="s">
        <v>12</v>
      </c>
      <c r="F74" s="14" t="s">
        <v>13</v>
      </c>
      <c r="G74" s="14" t="s">
        <v>14</v>
      </c>
      <c r="H74" s="14" t="s">
        <v>35</v>
      </c>
      <c r="I74" s="15"/>
    </row>
    <row r="75" spans="1:9" x14ac:dyDescent="0.35">
      <c r="A75" s="13"/>
      <c r="B75" s="14"/>
      <c r="C75" s="14"/>
      <c r="D75" s="14">
        <v>9</v>
      </c>
      <c r="E75" s="14">
        <f>+B76*B77*D75</f>
        <v>9</v>
      </c>
      <c r="F75" s="1">
        <v>104.5</v>
      </c>
      <c r="G75" s="16">
        <f>+E75*F75</f>
        <v>940.5</v>
      </c>
      <c r="H75" s="14" t="e">
        <f>+G75/B74</f>
        <v>#DIV/0!</v>
      </c>
      <c r="I75" s="15"/>
    </row>
    <row r="76" spans="1:9" ht="24.5" x14ac:dyDescent="0.7">
      <c r="A76" s="8" t="s">
        <v>33</v>
      </c>
      <c r="B76" s="29">
        <v>1</v>
      </c>
      <c r="C76" s="28" t="s">
        <v>36</v>
      </c>
      <c r="I76" s="9"/>
    </row>
    <row r="77" spans="1:9" ht="24.5" x14ac:dyDescent="0.7">
      <c r="A77" s="8" t="s">
        <v>34</v>
      </c>
      <c r="B77" s="29">
        <v>1</v>
      </c>
      <c r="C77" s="28" t="s">
        <v>37</v>
      </c>
      <c r="I77" s="9"/>
    </row>
    <row r="78" spans="1:9" x14ac:dyDescent="0.35">
      <c r="A78" s="8"/>
      <c r="I78" s="9"/>
    </row>
    <row r="79" spans="1:9" x14ac:dyDescent="0.35">
      <c r="A79" s="8"/>
      <c r="I79" s="9"/>
    </row>
    <row r="80" spans="1:9" ht="15" thickBot="1" x14ac:dyDescent="0.4">
      <c r="A80" s="10"/>
      <c r="B80" s="11"/>
      <c r="C80" s="11"/>
      <c r="D80" s="11"/>
      <c r="E80" s="11"/>
      <c r="F80" s="11"/>
      <c r="G80" s="11"/>
      <c r="H80" s="11"/>
      <c r="I80" s="12"/>
    </row>
    <row r="83" spans="1:4" ht="15.5" x14ac:dyDescent="0.35">
      <c r="A83" s="2"/>
      <c r="C83" s="1"/>
      <c r="D83" s="1"/>
    </row>
    <row r="84" spans="1:4" ht="15.5" x14ac:dyDescent="0.35">
      <c r="A84" s="3" t="s">
        <v>72</v>
      </c>
      <c r="B84" s="4" t="s">
        <v>3</v>
      </c>
      <c r="C84" s="5"/>
      <c r="D84" s="1"/>
    </row>
    <row r="85" spans="1:4" ht="15.5" x14ac:dyDescent="0.35">
      <c r="A85" s="2" t="s">
        <v>63</v>
      </c>
      <c r="C85" s="1">
        <v>28.5</v>
      </c>
      <c r="D85" s="1">
        <f t="shared" ref="D85:D92" si="10">+B85*C85</f>
        <v>0</v>
      </c>
    </row>
    <row r="86" spans="1:4" ht="15.5" x14ac:dyDescent="0.35">
      <c r="A86" s="2"/>
      <c r="C86" s="1"/>
      <c r="D86" s="1"/>
    </row>
    <row r="87" spans="1:4" ht="15.5" x14ac:dyDescent="0.35">
      <c r="A87" s="2"/>
      <c r="C87" s="1"/>
      <c r="D87" s="1"/>
    </row>
    <row r="88" spans="1:4" ht="15.5" x14ac:dyDescent="0.35">
      <c r="A88" s="3" t="s">
        <v>73</v>
      </c>
      <c r="B88" s="4" t="s">
        <v>0</v>
      </c>
      <c r="C88" s="5"/>
      <c r="D88" s="1"/>
    </row>
    <row r="89" spans="1:4" ht="15.5" x14ac:dyDescent="0.35">
      <c r="A89" s="2" t="s">
        <v>54</v>
      </c>
      <c r="C89" s="1">
        <v>1.5</v>
      </c>
      <c r="D89" s="1">
        <f t="shared" si="10"/>
        <v>0</v>
      </c>
    </row>
    <row r="90" spans="1:4" ht="15.5" x14ac:dyDescent="0.35">
      <c r="A90" s="2"/>
      <c r="C90" s="1"/>
      <c r="D90" s="1"/>
    </row>
    <row r="91" spans="1:4" ht="15.5" hidden="1" x14ac:dyDescent="0.35">
      <c r="A91" s="3" t="s">
        <v>2</v>
      </c>
      <c r="B91" s="4" t="s">
        <v>0</v>
      </c>
      <c r="C91" s="5"/>
      <c r="D91" s="1"/>
    </row>
    <row r="92" spans="1:4" ht="15.5" hidden="1" x14ac:dyDescent="0.35">
      <c r="A92" s="2" t="s">
        <v>54</v>
      </c>
      <c r="C92" s="1">
        <v>0.2</v>
      </c>
      <c r="D92" s="1">
        <f t="shared" si="10"/>
        <v>0</v>
      </c>
    </row>
    <row r="93" spans="1:4" ht="15.5" hidden="1" x14ac:dyDescent="0.35">
      <c r="A93" s="2"/>
      <c r="C93" s="1"/>
      <c r="D93" s="1"/>
    </row>
    <row r="94" spans="1:4" ht="15.5" x14ac:dyDescent="0.35">
      <c r="A94" s="2"/>
      <c r="C94" s="1"/>
      <c r="D94" s="1"/>
    </row>
    <row r="95" spans="1:4" ht="15.5" x14ac:dyDescent="0.35">
      <c r="A95" s="3" t="s">
        <v>74</v>
      </c>
      <c r="B95" s="4" t="s">
        <v>0</v>
      </c>
      <c r="C95" s="5"/>
      <c r="D95" s="1"/>
    </row>
    <row r="96" spans="1:4" ht="15.5" x14ac:dyDescent="0.35">
      <c r="A96" s="2" t="s">
        <v>54</v>
      </c>
      <c r="C96" s="1">
        <v>0.25</v>
      </c>
      <c r="D96" s="1">
        <f t="shared" ref="D96" si="11">+B96*C96</f>
        <v>0</v>
      </c>
    </row>
    <row r="97" spans="1:6" ht="15.5" x14ac:dyDescent="0.35">
      <c r="A97" s="2"/>
      <c r="C97" s="1"/>
      <c r="D97" s="1"/>
    </row>
    <row r="98" spans="1:6" ht="15.5" x14ac:dyDescent="0.35">
      <c r="A98" s="3" t="s">
        <v>95</v>
      </c>
      <c r="B98" s="4" t="s">
        <v>0</v>
      </c>
      <c r="C98" s="5"/>
      <c r="D98" s="1"/>
    </row>
    <row r="99" spans="1:6" ht="15.5" x14ac:dyDescent="0.35">
      <c r="A99" s="2" t="s">
        <v>54</v>
      </c>
      <c r="C99" s="1">
        <v>0.81</v>
      </c>
      <c r="D99" s="1">
        <f t="shared" ref="D99" si="12">+B99*C99</f>
        <v>0</v>
      </c>
    </row>
    <row r="100" spans="1:6" ht="15.5" x14ac:dyDescent="0.35">
      <c r="A100" s="2"/>
      <c r="C100" s="1"/>
      <c r="D100" s="1"/>
    </row>
    <row r="102" spans="1:6" ht="15.5" x14ac:dyDescent="0.35">
      <c r="A102" s="3" t="s">
        <v>4</v>
      </c>
      <c r="B102" s="4" t="s">
        <v>5</v>
      </c>
      <c r="C102" s="4" t="s">
        <v>6</v>
      </c>
      <c r="D102" s="4" t="s">
        <v>7</v>
      </c>
      <c r="E102" s="4" t="s">
        <v>8</v>
      </c>
      <c r="F102" s="5" t="s">
        <v>1</v>
      </c>
    </row>
    <row r="103" spans="1:6" x14ac:dyDescent="0.35">
      <c r="A103" t="s">
        <v>64</v>
      </c>
      <c r="D103">
        <v>15</v>
      </c>
      <c r="F103" s="1">
        <f>+B103*C103*D103*E103</f>
        <v>0</v>
      </c>
    </row>
    <row r="104" spans="1:6" x14ac:dyDescent="0.35">
      <c r="A104" t="s">
        <v>65</v>
      </c>
      <c r="D104">
        <v>115</v>
      </c>
      <c r="F104" s="1">
        <f t="shared" ref="F104:F105" si="13">+B104*C104*D104*E104</f>
        <v>0</v>
      </c>
    </row>
    <row r="105" spans="1:6" x14ac:dyDescent="0.35">
      <c r="A105" t="s">
        <v>77</v>
      </c>
      <c r="D105">
        <v>50</v>
      </c>
      <c r="F105" s="1">
        <f t="shared" si="13"/>
        <v>0</v>
      </c>
    </row>
  </sheetData>
  <mergeCells count="1">
    <mergeCell ref="A72:I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8"/>
  <sheetViews>
    <sheetView topLeftCell="A17" workbookViewId="0">
      <selection activeCell="A27" sqref="A27:XFD46"/>
    </sheetView>
  </sheetViews>
  <sheetFormatPr defaultRowHeight="14.5" x14ac:dyDescent="0.35"/>
  <cols>
    <col min="2" max="2" width="35.453125" customWidth="1"/>
    <col min="3" max="3" width="18" hidden="1" customWidth="1"/>
    <col min="4" max="4" width="21.54296875" hidden="1" customWidth="1"/>
    <col min="5" max="5" width="37.453125" customWidth="1"/>
    <col min="6" max="6" width="21.54296875" customWidth="1"/>
  </cols>
  <sheetData>
    <row r="1" spans="1:5" ht="18.5" x14ac:dyDescent="0.45">
      <c r="A1" s="96"/>
      <c r="B1" s="96"/>
      <c r="C1" s="96"/>
      <c r="D1" s="96"/>
      <c r="E1" s="96"/>
    </row>
    <row r="2" spans="1:5" ht="28" x14ac:dyDescent="0.35">
      <c r="A2" s="97" t="s">
        <v>15</v>
      </c>
      <c r="B2" s="97"/>
      <c r="C2" s="97"/>
      <c r="D2" s="97"/>
      <c r="E2" s="97"/>
    </row>
    <row r="3" spans="1:5" ht="15.5" x14ac:dyDescent="0.35">
      <c r="A3" s="98" t="s">
        <v>51</v>
      </c>
      <c r="B3" s="98"/>
      <c r="C3" s="98"/>
      <c r="D3" s="98"/>
      <c r="E3" s="98"/>
    </row>
    <row r="4" spans="1:5" ht="15.5" x14ac:dyDescent="0.35">
      <c r="A4" s="69"/>
      <c r="B4" s="72" t="s">
        <v>108</v>
      </c>
      <c r="C4" s="71"/>
      <c r="D4" s="71"/>
      <c r="E4" s="70" t="s">
        <v>109</v>
      </c>
    </row>
    <row r="5" spans="1:5" ht="15.5" x14ac:dyDescent="0.35">
      <c r="A5" s="69"/>
      <c r="B5" s="70" t="s">
        <v>57</v>
      </c>
      <c r="C5" s="71"/>
      <c r="D5" s="71"/>
      <c r="E5" s="75" t="s">
        <v>56</v>
      </c>
    </row>
    <row r="6" spans="1:5" ht="15.5" x14ac:dyDescent="0.35">
      <c r="A6" s="69"/>
      <c r="B6" s="73" t="s">
        <v>52</v>
      </c>
      <c r="C6" s="17"/>
      <c r="D6" s="17"/>
      <c r="E6" s="35" t="s">
        <v>53</v>
      </c>
    </row>
    <row r="7" spans="1:5" x14ac:dyDescent="0.35">
      <c r="A7" s="17"/>
      <c r="B7" s="30" t="str">
        <f>INPUT!B9</f>
        <v xml:space="preserve">Project :  </v>
      </c>
      <c r="C7" s="35"/>
      <c r="D7" s="19"/>
      <c r="E7" s="30" t="str">
        <f>INPUT!E9</f>
        <v xml:space="preserve">Date :  </v>
      </c>
    </row>
    <row r="8" spans="1:5" x14ac:dyDescent="0.35">
      <c r="A8" s="17"/>
      <c r="B8" s="36">
        <f>INPUT!B10</f>
        <v>0</v>
      </c>
      <c r="C8" s="17"/>
      <c r="D8" s="19"/>
      <c r="E8" s="37">
        <f>INPUT!E10</f>
        <v>42874</v>
      </c>
    </row>
    <row r="9" spans="1:5" x14ac:dyDescent="0.35">
      <c r="A9" s="17"/>
      <c r="B9" s="30" t="str">
        <f>INPUT!B11</f>
        <v>Company</v>
      </c>
      <c r="C9" s="35"/>
      <c r="D9" s="19" t="s">
        <v>18</v>
      </c>
      <c r="E9" s="30" t="str">
        <f>INPUT!E11</f>
        <v>Office Phone</v>
      </c>
    </row>
    <row r="10" spans="1:5" x14ac:dyDescent="0.35">
      <c r="A10" s="17"/>
      <c r="B10" s="36">
        <f>INPUT!B12</f>
        <v>0</v>
      </c>
      <c r="C10" s="17"/>
      <c r="D10" s="19"/>
      <c r="E10" s="36">
        <f>INPUT!E12</f>
        <v>0</v>
      </c>
    </row>
    <row r="11" spans="1:5" x14ac:dyDescent="0.35">
      <c r="A11" s="17"/>
      <c r="B11" s="30" t="str">
        <f>INPUT!B13</f>
        <v>Street:</v>
      </c>
      <c r="C11" s="35"/>
      <c r="D11" s="19"/>
      <c r="E11" s="30" t="str">
        <f>INPUT!E13</f>
        <v>Contact:</v>
      </c>
    </row>
    <row r="12" spans="1:5" x14ac:dyDescent="0.35">
      <c r="A12" s="17"/>
      <c r="B12" s="36">
        <f>INPUT!B14</f>
        <v>0</v>
      </c>
      <c r="C12" s="17"/>
      <c r="D12" s="19"/>
      <c r="E12" s="36">
        <f>INPUT!E14</f>
        <v>0</v>
      </c>
    </row>
    <row r="13" spans="1:5" x14ac:dyDescent="0.35">
      <c r="A13" s="17"/>
      <c r="B13" s="30" t="str">
        <f>INPUT!B15</f>
        <v>City &amp; State</v>
      </c>
      <c r="C13" s="35"/>
      <c r="D13" s="19"/>
      <c r="E13" s="30" t="str">
        <f>INPUT!E15</f>
        <v>Cell Phone</v>
      </c>
    </row>
    <row r="14" spans="1:5" x14ac:dyDescent="0.35">
      <c r="A14" s="17"/>
      <c r="B14" s="36">
        <f>INPUT!B16</f>
        <v>0</v>
      </c>
      <c r="C14" s="17"/>
      <c r="D14" s="19"/>
      <c r="E14" s="36">
        <f>INPUT!E16</f>
        <v>0</v>
      </c>
    </row>
    <row r="15" spans="1:5" ht="21" x14ac:dyDescent="0.5">
      <c r="A15" s="17"/>
      <c r="B15" s="23" t="s">
        <v>18</v>
      </c>
      <c r="C15" s="18"/>
      <c r="D15" s="19"/>
      <c r="E15" s="18" t="s">
        <v>18</v>
      </c>
    </row>
    <row r="16" spans="1:5" ht="18.5" x14ac:dyDescent="0.45">
      <c r="A16" s="17"/>
      <c r="B16" s="22" t="str">
        <f>INPUT!B18</f>
        <v>Notes:</v>
      </c>
      <c r="C16" s="20"/>
      <c r="D16" s="21"/>
      <c r="E16" s="20"/>
    </row>
    <row r="17" spans="1:5" ht="18.5" x14ac:dyDescent="0.45">
      <c r="A17" s="17"/>
      <c r="B17" s="31" t="str">
        <f>INPUT!B19</f>
        <v>We propose to furnish all materials and perform labor necessary to complete</v>
      </c>
      <c r="C17" s="20"/>
      <c r="D17" s="21"/>
      <c r="E17" s="20"/>
    </row>
    <row r="18" spans="1:5" ht="18.5" x14ac:dyDescent="0.45">
      <c r="A18" s="17"/>
      <c r="B18" s="31" t="str">
        <f>INPUT!B20</f>
        <v>the following cleaning service at Prevailing Wage rate:</v>
      </c>
      <c r="C18" s="20"/>
      <c r="D18" s="21"/>
      <c r="E18" s="20"/>
    </row>
    <row r="19" spans="1:5" ht="18.5" hidden="1" x14ac:dyDescent="0.45">
      <c r="A19" s="17"/>
      <c r="B19" s="30" t="s">
        <v>90</v>
      </c>
      <c r="C19" s="20"/>
      <c r="D19" s="21"/>
      <c r="E19" s="20"/>
    </row>
    <row r="20" spans="1:5" ht="18.5" x14ac:dyDescent="0.45">
      <c r="A20" s="17"/>
      <c r="B20" s="31"/>
      <c r="C20" s="20"/>
      <c r="D20" s="21"/>
      <c r="E20" s="20"/>
    </row>
    <row r="21" spans="1:5" ht="18.5" x14ac:dyDescent="0.45">
      <c r="A21" s="17"/>
      <c r="B21" s="22" t="str">
        <f>INPUT!B23</f>
        <v xml:space="preserve">Final Cleaning Cost: $ </v>
      </c>
      <c r="C21" s="20"/>
      <c r="D21" s="21"/>
      <c r="E21" s="20"/>
    </row>
    <row r="22" spans="1:5" ht="18.5" x14ac:dyDescent="0.45">
      <c r="A22" s="17"/>
      <c r="B22" s="31" t="str">
        <f>INPUT!B24</f>
        <v>This would be the cleaning of walls, doors, doorframes, lights, fixtures, vacuum,</v>
      </c>
      <c r="C22" s="20"/>
      <c r="D22" s="21"/>
      <c r="E22" s="20"/>
    </row>
    <row r="23" spans="1:5" ht="18.5" x14ac:dyDescent="0.45">
      <c r="A23" s="17"/>
      <c r="B23" s="31" t="str">
        <f>INPUT!B25</f>
        <v>switches, plug plates, baseboards, cabinets, restrooms, sweep and mop.</v>
      </c>
      <c r="C23" s="20"/>
      <c r="D23" s="21"/>
      <c r="E23" s="20"/>
    </row>
    <row r="24" spans="1:5" ht="18.5" x14ac:dyDescent="0.45">
      <c r="A24" s="17"/>
      <c r="B24" s="31" t="s">
        <v>88</v>
      </c>
      <c r="C24" s="20"/>
      <c r="D24" s="21"/>
      <c r="E24" s="20"/>
    </row>
    <row r="25" spans="1:5" ht="18.5" x14ac:dyDescent="0.45">
      <c r="A25" s="17"/>
      <c r="B25" s="31" t="s">
        <v>89</v>
      </c>
      <c r="C25" s="20"/>
      <c r="D25" s="21"/>
      <c r="E25" s="20"/>
    </row>
    <row r="26" spans="1:5" ht="18.5" x14ac:dyDescent="0.45">
      <c r="A26" s="17"/>
      <c r="B26" s="31"/>
      <c r="C26" s="20"/>
      <c r="D26" s="21"/>
      <c r="E26" s="20"/>
    </row>
    <row r="27" spans="1:5" ht="18.5" hidden="1" x14ac:dyDescent="0.45">
      <c r="A27" s="17"/>
      <c r="B27" s="22" t="str">
        <f>INPUT!B26</f>
        <v xml:space="preserve">_ Final Cleaning Cost: $ </v>
      </c>
      <c r="C27" s="20"/>
      <c r="D27" s="21"/>
      <c r="E27" s="20"/>
    </row>
    <row r="28" spans="1:5" ht="18.5" hidden="1" x14ac:dyDescent="0.45">
      <c r="A28" s="17"/>
      <c r="B28" s="31" t="str">
        <f>INPUT!B27</f>
        <v>This would be the cleaning of walls, doors, doorframes, lights, fixtures, vacuum,</v>
      </c>
      <c r="C28" s="20"/>
      <c r="D28" s="21"/>
      <c r="E28" s="20"/>
    </row>
    <row r="29" spans="1:5" ht="18.5" hidden="1" x14ac:dyDescent="0.45">
      <c r="A29" s="17"/>
      <c r="B29" s="31" t="str">
        <f>INPUT!B28</f>
        <v>switches, plug plates, baseboards, cabinets, restrooms, sweep and mop.</v>
      </c>
      <c r="C29" s="20"/>
      <c r="D29" s="21"/>
      <c r="E29" s="20"/>
    </row>
    <row r="30" spans="1:5" ht="18.5" hidden="1" x14ac:dyDescent="0.45">
      <c r="A30" s="17"/>
      <c r="B30" s="31" t="s">
        <v>88</v>
      </c>
      <c r="C30" s="20"/>
      <c r="D30" s="21"/>
      <c r="E30" s="20"/>
    </row>
    <row r="31" spans="1:5" ht="18.5" hidden="1" x14ac:dyDescent="0.45">
      <c r="A31" s="17"/>
      <c r="B31" s="31" t="s">
        <v>89</v>
      </c>
      <c r="C31" s="20"/>
      <c r="D31" s="21"/>
      <c r="E31" s="20"/>
    </row>
    <row r="32" spans="1:5" ht="18.5" hidden="1" x14ac:dyDescent="0.45">
      <c r="A32" s="17"/>
      <c r="B32" s="31"/>
      <c r="C32" s="20"/>
      <c r="D32" s="21"/>
      <c r="E32" s="20"/>
    </row>
    <row r="33" spans="1:5" ht="18.5" hidden="1" x14ac:dyDescent="0.45">
      <c r="A33" s="17"/>
      <c r="B33" s="22" t="str">
        <f>INPUT!B29</f>
        <v xml:space="preserve">Floor Cleaning Cost: $ </v>
      </c>
      <c r="C33" s="20"/>
      <c r="D33" s="21"/>
      <c r="E33" s="20"/>
    </row>
    <row r="34" spans="1:5" ht="18.5" hidden="1" x14ac:dyDescent="0.45">
      <c r="A34" s="17"/>
      <c r="B34" s="31" t="str">
        <f>INPUT!B30</f>
        <v>Removal of factory finish and applying 3 coats of wax to VCT flooring.</v>
      </c>
      <c r="C34" s="20"/>
      <c r="D34" s="21"/>
      <c r="E34" s="20"/>
    </row>
    <row r="35" spans="1:5" ht="18.5" hidden="1" x14ac:dyDescent="0.45">
      <c r="A35" s="17"/>
      <c r="B35" s="87"/>
      <c r="C35" s="88"/>
      <c r="D35" s="89"/>
      <c r="E35" s="88"/>
    </row>
    <row r="36" spans="1:5" ht="18.5" hidden="1" x14ac:dyDescent="0.45">
      <c r="A36" s="17"/>
      <c r="B36" s="31" t="s">
        <v>50</v>
      </c>
      <c r="C36" s="20"/>
      <c r="D36" s="21"/>
      <c r="E36" s="20"/>
    </row>
    <row r="37" spans="1:5" ht="18.5" hidden="1" x14ac:dyDescent="0.45">
      <c r="A37" s="17"/>
      <c r="B37" s="31" t="s">
        <v>45</v>
      </c>
      <c r="C37" s="20"/>
      <c r="D37" s="21"/>
      <c r="E37" s="20"/>
    </row>
    <row r="38" spans="1:5" ht="18.5" hidden="1" x14ac:dyDescent="0.45">
      <c r="A38" s="17"/>
      <c r="B38" s="31" t="s">
        <v>88</v>
      </c>
      <c r="C38" s="20"/>
      <c r="D38" s="21"/>
      <c r="E38" s="20"/>
    </row>
    <row r="39" spans="1:5" ht="18.5" hidden="1" x14ac:dyDescent="0.45">
      <c r="A39" s="17"/>
      <c r="B39" s="31" t="s">
        <v>89</v>
      </c>
      <c r="C39" s="20"/>
      <c r="D39" s="21"/>
      <c r="E39" s="20"/>
    </row>
    <row r="40" spans="1:5" ht="18.5" hidden="1" x14ac:dyDescent="0.45">
      <c r="A40" s="17"/>
      <c r="B40" s="31"/>
      <c r="C40" s="20"/>
      <c r="D40" s="21"/>
      <c r="E40" s="20"/>
    </row>
    <row r="41" spans="1:5" ht="18.5" hidden="1" x14ac:dyDescent="0.45">
      <c r="A41" s="17"/>
      <c r="B41" s="22" t="s">
        <v>99</v>
      </c>
      <c r="C41" s="20"/>
      <c r="D41" s="21"/>
      <c r="E41" s="20"/>
    </row>
    <row r="42" spans="1:5" ht="18.5" hidden="1" x14ac:dyDescent="0.45">
      <c r="A42" s="17"/>
      <c r="B42" s="31" t="s">
        <v>91</v>
      </c>
      <c r="C42" s="20"/>
      <c r="D42" s="21"/>
      <c r="E42" s="20"/>
    </row>
    <row r="43" spans="1:5" ht="18.5" hidden="1" x14ac:dyDescent="0.45">
      <c r="A43" s="17"/>
      <c r="B43" s="31"/>
      <c r="C43" s="20"/>
      <c r="D43" s="21"/>
      <c r="E43" s="20"/>
    </row>
    <row r="44" spans="1:5" ht="18.5" hidden="1" x14ac:dyDescent="0.45">
      <c r="A44" s="17"/>
      <c r="B44" s="22" t="s">
        <v>100</v>
      </c>
      <c r="C44" s="20"/>
      <c r="D44" s="21"/>
      <c r="E44" s="20"/>
    </row>
    <row r="45" spans="1:5" ht="18.5" hidden="1" x14ac:dyDescent="0.45">
      <c r="A45" s="17"/>
      <c r="B45" s="31" t="s">
        <v>94</v>
      </c>
      <c r="C45" s="20"/>
      <c r="D45" s="21"/>
      <c r="E45" s="20"/>
    </row>
    <row r="46" spans="1:5" ht="18.5" hidden="1" x14ac:dyDescent="0.45">
      <c r="A46" s="17"/>
      <c r="B46" s="31"/>
      <c r="C46" s="20"/>
      <c r="D46" s="21"/>
      <c r="E46" s="20"/>
    </row>
    <row r="47" spans="1:5" ht="18.5" x14ac:dyDescent="0.45">
      <c r="A47" s="17"/>
      <c r="B47" s="31"/>
      <c r="C47" s="20"/>
      <c r="D47" s="21"/>
      <c r="E47" s="20"/>
    </row>
    <row r="48" spans="1:5" ht="18.5" x14ac:dyDescent="0.45">
      <c r="A48" s="17"/>
      <c r="B48" s="31" t="s">
        <v>110</v>
      </c>
      <c r="C48" s="20"/>
      <c r="D48" s="21"/>
      <c r="E48" s="20"/>
    </row>
    <row r="49" spans="1:5" ht="18.5" x14ac:dyDescent="0.45">
      <c r="A49" s="17"/>
      <c r="B49" s="31" t="s">
        <v>111</v>
      </c>
      <c r="C49" s="20"/>
      <c r="D49" s="21"/>
      <c r="E49" s="20"/>
    </row>
    <row r="50" spans="1:5" ht="18.5" x14ac:dyDescent="0.45">
      <c r="A50" s="17"/>
      <c r="B50" s="31" t="s">
        <v>112</v>
      </c>
      <c r="C50" s="20"/>
      <c r="D50" s="21"/>
      <c r="E50" s="20"/>
    </row>
    <row r="51" spans="1:5" ht="18.5" x14ac:dyDescent="0.45">
      <c r="A51" s="17"/>
      <c r="B51" s="31" t="s">
        <v>113</v>
      </c>
      <c r="C51" s="20"/>
      <c r="D51" s="21"/>
      <c r="E51" s="20"/>
    </row>
    <row r="52" spans="1:5" ht="18.5" x14ac:dyDescent="0.35">
      <c r="B52" s="32" t="s">
        <v>43</v>
      </c>
    </row>
    <row r="53" spans="1:5" ht="15.5" x14ac:dyDescent="0.35">
      <c r="B53" s="33"/>
    </row>
    <row r="54" spans="1:5" ht="25.5" x14ac:dyDescent="0.35">
      <c r="B54" s="34" t="s">
        <v>75</v>
      </c>
    </row>
    <row r="55" spans="1:5" ht="15.5" x14ac:dyDescent="0.35">
      <c r="B55" s="32"/>
    </row>
    <row r="56" spans="1:5" ht="15.5" x14ac:dyDescent="0.35">
      <c r="B56" s="32" t="s">
        <v>76</v>
      </c>
    </row>
    <row r="57" spans="1:5" ht="15.5" x14ac:dyDescent="0.35">
      <c r="B57" s="32"/>
    </row>
    <row r="58" spans="1:5" ht="112.5" customHeight="1" x14ac:dyDescent="0.35">
      <c r="B58" s="99" t="s">
        <v>49</v>
      </c>
      <c r="C58" s="99"/>
      <c r="D58" s="99"/>
      <c r="E58" s="99"/>
    </row>
    <row r="59" spans="1:5" ht="15.5" x14ac:dyDescent="0.35">
      <c r="B59" s="32" t="s">
        <v>44</v>
      </c>
    </row>
    <row r="98" hidden="1" x14ac:dyDescent="0.35"/>
  </sheetData>
  <mergeCells count="4">
    <mergeCell ref="A1:E1"/>
    <mergeCell ref="A2:E2"/>
    <mergeCell ref="A3:E3"/>
    <mergeCell ref="B58:E5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NORMAL WAGE</vt:lpstr>
      <vt:lpstr>PREVAILING WAGE</vt:lpstr>
      <vt:lpstr>INFO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burris</dc:creator>
  <cp:lastModifiedBy>Eric Burris</cp:lastModifiedBy>
  <cp:lastPrinted>2017-05-19T18:15:14Z</cp:lastPrinted>
  <dcterms:created xsi:type="dcterms:W3CDTF">2017-02-03T04:39:11Z</dcterms:created>
  <dcterms:modified xsi:type="dcterms:W3CDTF">2026-02-25T11:54:02Z</dcterms:modified>
</cp:coreProperties>
</file>